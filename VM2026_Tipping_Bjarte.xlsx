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onsafelogistics-my.sharepoint.com/personal/martin_skaug_consafelogistics_com/Documents/Desktop/VM/Tipping/"/>
    </mc:Choice>
  </mc:AlternateContent>
  <xr:revisionPtr revIDLastSave="1" documentId="13_ncr:1_{76699E28-8D22-4C49-93A3-D9CB955DE859}" xr6:coauthVersionLast="47" xr6:coauthVersionMax="47" xr10:uidLastSave="{4ED20B4C-DA89-4751-9777-7627ED9273E2}"/>
  <bookViews>
    <workbookView xWindow="-108" yWindow="-108" windowWidth="23256" windowHeight="13896" tabRatio="500" xr2:uid="{00000000-000D-0000-FFFF-FFFF00000000}"/>
  </bookViews>
  <sheets>
    <sheet name="MINE TIP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8" i="1" l="1"/>
  <c r="J177" i="1"/>
  <c r="H176" i="1"/>
  <c r="J173" i="1"/>
  <c r="J172" i="1"/>
  <c r="J171" i="1"/>
  <c r="J170" i="1"/>
  <c r="I177" i="1" s="1"/>
  <c r="H169" i="1"/>
  <c r="J166" i="1"/>
  <c r="J165" i="1"/>
  <c r="J164" i="1"/>
  <c r="J163" i="1"/>
  <c r="I172" i="1" s="1"/>
  <c r="J162" i="1"/>
  <c r="J161" i="1"/>
  <c r="J160" i="1"/>
  <c r="J159" i="1"/>
  <c r="I170" i="1" s="1"/>
  <c r="H158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H139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H104" i="1"/>
  <c r="AC98" i="1"/>
  <c r="AB98" i="1"/>
  <c r="AA98" i="1"/>
  <c r="Z98" i="1"/>
  <c r="Y98" i="1"/>
  <c r="X98" i="1"/>
  <c r="AC97" i="1"/>
  <c r="AB97" i="1"/>
  <c r="AA97" i="1"/>
  <c r="Z97" i="1"/>
  <c r="Y97" i="1"/>
  <c r="AE97" i="1" s="1"/>
  <c r="X97" i="1"/>
  <c r="AC96" i="1"/>
  <c r="AB96" i="1"/>
  <c r="AA96" i="1"/>
  <c r="Z96" i="1"/>
  <c r="Y96" i="1"/>
  <c r="X96" i="1"/>
  <c r="AC95" i="1"/>
  <c r="AB95" i="1"/>
  <c r="AD95" i="1" s="1"/>
  <c r="AA95" i="1"/>
  <c r="Z95" i="1"/>
  <c r="Y95" i="1"/>
  <c r="X95" i="1"/>
  <c r="AC90" i="1"/>
  <c r="AB90" i="1"/>
  <c r="AA90" i="1"/>
  <c r="Z90" i="1"/>
  <c r="Y90" i="1"/>
  <c r="X90" i="1"/>
  <c r="AC89" i="1"/>
  <c r="AB89" i="1"/>
  <c r="AA89" i="1"/>
  <c r="Z89" i="1"/>
  <c r="Y89" i="1"/>
  <c r="X89" i="1"/>
  <c r="AC88" i="1"/>
  <c r="AB88" i="1"/>
  <c r="AA88" i="1"/>
  <c r="Z88" i="1"/>
  <c r="Y88" i="1"/>
  <c r="X88" i="1"/>
  <c r="AC87" i="1"/>
  <c r="AB87" i="1"/>
  <c r="AA87" i="1"/>
  <c r="Z87" i="1"/>
  <c r="Y87" i="1"/>
  <c r="X87" i="1"/>
  <c r="AC82" i="1"/>
  <c r="AB82" i="1"/>
  <c r="AD82" i="1" s="1"/>
  <c r="AA82" i="1"/>
  <c r="Z82" i="1"/>
  <c r="Y82" i="1"/>
  <c r="X82" i="1"/>
  <c r="AC81" i="1"/>
  <c r="AB81" i="1"/>
  <c r="AA81" i="1"/>
  <c r="Z81" i="1"/>
  <c r="Y81" i="1"/>
  <c r="X81" i="1"/>
  <c r="AC80" i="1"/>
  <c r="AB80" i="1"/>
  <c r="AD80" i="1" s="1"/>
  <c r="AA80" i="1"/>
  <c r="Z80" i="1"/>
  <c r="Y80" i="1"/>
  <c r="X80" i="1"/>
  <c r="AC79" i="1"/>
  <c r="AB79" i="1"/>
  <c r="AA79" i="1"/>
  <c r="Z79" i="1"/>
  <c r="Y79" i="1"/>
  <c r="X79" i="1"/>
  <c r="AC74" i="1"/>
  <c r="AB74" i="1"/>
  <c r="AA74" i="1"/>
  <c r="Z74" i="1"/>
  <c r="Y74" i="1"/>
  <c r="X74" i="1"/>
  <c r="AC73" i="1"/>
  <c r="AB73" i="1"/>
  <c r="AA73" i="1"/>
  <c r="Z73" i="1"/>
  <c r="Y73" i="1"/>
  <c r="X73" i="1"/>
  <c r="AC72" i="1"/>
  <c r="AB72" i="1"/>
  <c r="AD72" i="1" s="1"/>
  <c r="AA72" i="1"/>
  <c r="Z72" i="1"/>
  <c r="Y72" i="1"/>
  <c r="X72" i="1"/>
  <c r="AC71" i="1"/>
  <c r="AB71" i="1"/>
  <c r="AA71" i="1"/>
  <c r="Z71" i="1"/>
  <c r="Y71" i="1"/>
  <c r="X71" i="1"/>
  <c r="AC66" i="1"/>
  <c r="AB66" i="1"/>
  <c r="AD66" i="1" s="1"/>
  <c r="AA66" i="1"/>
  <c r="Z66" i="1"/>
  <c r="Y66" i="1"/>
  <c r="X66" i="1"/>
  <c r="AC65" i="1"/>
  <c r="AB65" i="1"/>
  <c r="AA65" i="1"/>
  <c r="Z65" i="1"/>
  <c r="Y65" i="1"/>
  <c r="X65" i="1"/>
  <c r="AC64" i="1"/>
  <c r="AB64" i="1"/>
  <c r="AA64" i="1"/>
  <c r="Z64" i="1"/>
  <c r="Y64" i="1"/>
  <c r="X64" i="1"/>
  <c r="AC63" i="1"/>
  <c r="AB63" i="1"/>
  <c r="AA63" i="1"/>
  <c r="Z63" i="1"/>
  <c r="Y63" i="1"/>
  <c r="X63" i="1"/>
  <c r="AC58" i="1"/>
  <c r="AB58" i="1"/>
  <c r="AD58" i="1" s="1"/>
  <c r="AA58" i="1"/>
  <c r="Z58" i="1"/>
  <c r="Y58" i="1"/>
  <c r="X58" i="1"/>
  <c r="AC57" i="1"/>
  <c r="AB57" i="1"/>
  <c r="AA57" i="1"/>
  <c r="Z57" i="1"/>
  <c r="Y57" i="1"/>
  <c r="X57" i="1"/>
  <c r="AC56" i="1"/>
  <c r="AB56" i="1"/>
  <c r="AD56" i="1" s="1"/>
  <c r="AA56" i="1"/>
  <c r="Z56" i="1"/>
  <c r="Y56" i="1"/>
  <c r="X56" i="1"/>
  <c r="AC55" i="1"/>
  <c r="AB55" i="1"/>
  <c r="AA55" i="1"/>
  <c r="Z55" i="1"/>
  <c r="Y55" i="1"/>
  <c r="AE55" i="1" s="1"/>
  <c r="X55" i="1"/>
  <c r="AC50" i="1"/>
  <c r="AB50" i="1"/>
  <c r="AA50" i="1"/>
  <c r="Z50" i="1"/>
  <c r="Y50" i="1"/>
  <c r="X50" i="1"/>
  <c r="AC49" i="1"/>
  <c r="AB49" i="1"/>
  <c r="AA49" i="1"/>
  <c r="Z49" i="1"/>
  <c r="Y49" i="1"/>
  <c r="AE49" i="1" s="1"/>
  <c r="X49" i="1"/>
  <c r="AC48" i="1"/>
  <c r="AB48" i="1"/>
  <c r="AA48" i="1"/>
  <c r="Z48" i="1"/>
  <c r="Y48" i="1"/>
  <c r="X48" i="1"/>
  <c r="AC47" i="1"/>
  <c r="AB47" i="1"/>
  <c r="AA47" i="1"/>
  <c r="Z47" i="1"/>
  <c r="Y47" i="1"/>
  <c r="AE47" i="1" s="1"/>
  <c r="X47" i="1"/>
  <c r="AC42" i="1"/>
  <c r="AB42" i="1"/>
  <c r="AA42" i="1"/>
  <c r="Z42" i="1"/>
  <c r="Y42" i="1"/>
  <c r="X42" i="1"/>
  <c r="AC41" i="1"/>
  <c r="AB41" i="1"/>
  <c r="AA41" i="1"/>
  <c r="Z41" i="1"/>
  <c r="Y41" i="1"/>
  <c r="X41" i="1"/>
  <c r="AC40" i="1"/>
  <c r="AB40" i="1"/>
  <c r="AA40" i="1"/>
  <c r="Z40" i="1"/>
  <c r="Y40" i="1"/>
  <c r="X40" i="1"/>
  <c r="AC39" i="1"/>
  <c r="AB39" i="1"/>
  <c r="AA39" i="1"/>
  <c r="Z39" i="1"/>
  <c r="Y39" i="1"/>
  <c r="X39" i="1"/>
  <c r="AC34" i="1"/>
  <c r="AB34" i="1"/>
  <c r="AD34" i="1" s="1"/>
  <c r="AA34" i="1"/>
  <c r="Z34" i="1"/>
  <c r="Y34" i="1"/>
  <c r="X34" i="1"/>
  <c r="AC33" i="1"/>
  <c r="AB33" i="1"/>
  <c r="AA33" i="1"/>
  <c r="Z33" i="1"/>
  <c r="Y33" i="1"/>
  <c r="X33" i="1"/>
  <c r="AC32" i="1"/>
  <c r="AB32" i="1"/>
  <c r="AA32" i="1"/>
  <c r="Z32" i="1"/>
  <c r="Y32" i="1"/>
  <c r="X32" i="1"/>
  <c r="AC31" i="1"/>
  <c r="AB31" i="1"/>
  <c r="AA31" i="1"/>
  <c r="Z31" i="1"/>
  <c r="Y31" i="1"/>
  <c r="X31" i="1"/>
  <c r="AC26" i="1"/>
  <c r="AB26" i="1"/>
  <c r="AD26" i="1" s="1"/>
  <c r="AA26" i="1"/>
  <c r="Z26" i="1"/>
  <c r="Y26" i="1"/>
  <c r="X26" i="1"/>
  <c r="AC25" i="1"/>
  <c r="AB25" i="1"/>
  <c r="AA25" i="1"/>
  <c r="Z25" i="1"/>
  <c r="Y25" i="1"/>
  <c r="X25" i="1"/>
  <c r="AC24" i="1"/>
  <c r="AB24" i="1"/>
  <c r="AD24" i="1" s="1"/>
  <c r="AA24" i="1"/>
  <c r="Z24" i="1"/>
  <c r="Y24" i="1"/>
  <c r="X24" i="1"/>
  <c r="AC23" i="1"/>
  <c r="AB23" i="1"/>
  <c r="AD23" i="1" s="1"/>
  <c r="AA23" i="1"/>
  <c r="Z23" i="1"/>
  <c r="Y23" i="1"/>
  <c r="AE23" i="1" s="1"/>
  <c r="X23" i="1"/>
  <c r="AC18" i="1"/>
  <c r="AB18" i="1"/>
  <c r="AA18" i="1"/>
  <c r="Z18" i="1"/>
  <c r="Y18" i="1"/>
  <c r="X18" i="1"/>
  <c r="AC17" i="1"/>
  <c r="AB17" i="1"/>
  <c r="AA17" i="1"/>
  <c r="Z17" i="1"/>
  <c r="Y17" i="1"/>
  <c r="X17" i="1"/>
  <c r="AC16" i="1"/>
  <c r="AB16" i="1"/>
  <c r="AD16" i="1" s="1"/>
  <c r="AA16" i="1"/>
  <c r="Z16" i="1"/>
  <c r="Y16" i="1"/>
  <c r="X16" i="1"/>
  <c r="AC15" i="1"/>
  <c r="AB15" i="1"/>
  <c r="AA15" i="1"/>
  <c r="Z15" i="1"/>
  <c r="Y15" i="1"/>
  <c r="X15" i="1"/>
  <c r="AC10" i="1"/>
  <c r="AB10" i="1"/>
  <c r="AA10" i="1"/>
  <c r="Z10" i="1"/>
  <c r="Y10" i="1"/>
  <c r="X10" i="1"/>
  <c r="AC9" i="1"/>
  <c r="AB9" i="1"/>
  <c r="AD9" i="1" s="1"/>
  <c r="AA9" i="1"/>
  <c r="Z9" i="1"/>
  <c r="Y9" i="1"/>
  <c r="X9" i="1"/>
  <c r="AC8" i="1"/>
  <c r="AB8" i="1"/>
  <c r="AA8" i="1"/>
  <c r="Z8" i="1"/>
  <c r="Y8" i="1"/>
  <c r="X8" i="1"/>
  <c r="AC7" i="1"/>
  <c r="AB7" i="1"/>
  <c r="AA7" i="1"/>
  <c r="Z7" i="1"/>
  <c r="Y7" i="1"/>
  <c r="X7" i="1"/>
  <c r="I178" i="1" l="1"/>
  <c r="I161" i="1"/>
  <c r="I164" i="1"/>
  <c r="I149" i="1"/>
  <c r="I143" i="1"/>
  <c r="I145" i="1"/>
  <c r="AE95" i="1"/>
  <c r="AE87" i="1"/>
  <c r="AD90" i="1"/>
  <c r="AE73" i="1"/>
  <c r="AE63" i="1"/>
  <c r="AE65" i="1"/>
  <c r="AE57" i="1"/>
  <c r="AD48" i="1"/>
  <c r="AD47" i="1"/>
  <c r="AE39" i="1"/>
  <c r="AD39" i="1"/>
  <c r="AD40" i="1"/>
  <c r="AD32" i="1"/>
  <c r="AE10" i="1"/>
  <c r="AD8" i="1"/>
  <c r="AE16" i="1"/>
  <c r="AE18" i="1"/>
  <c r="AD31" i="1"/>
  <c r="AD55" i="1"/>
  <c r="AD88" i="1"/>
  <c r="AD25" i="1"/>
  <c r="AE25" i="1"/>
  <c r="AE15" i="1"/>
  <c r="AE17" i="1"/>
  <c r="AE7" i="1"/>
  <c r="AE9" i="1"/>
  <c r="AD7" i="1"/>
  <c r="AD64" i="1"/>
  <c r="AE79" i="1"/>
  <c r="AE81" i="1"/>
  <c r="AD79" i="1"/>
  <c r="AD96" i="1"/>
  <c r="AE89" i="1"/>
  <c r="AD71" i="1"/>
  <c r="AD63" i="1"/>
  <c r="AE56" i="1"/>
  <c r="AE41" i="1"/>
  <c r="AE33" i="1"/>
  <c r="AE31" i="1"/>
  <c r="AE8" i="1"/>
  <c r="AD15" i="1"/>
  <c r="AD17" i="1"/>
  <c r="AE24" i="1"/>
  <c r="AE32" i="1"/>
  <c r="AD33" i="1"/>
  <c r="AD42" i="1"/>
  <c r="AD41" i="1"/>
  <c r="AE40" i="1"/>
  <c r="AE42" i="1"/>
  <c r="AE48" i="1"/>
  <c r="AD50" i="1"/>
  <c r="AD49" i="1"/>
  <c r="AE50" i="1"/>
  <c r="AD57" i="1"/>
  <c r="AE58" i="1"/>
  <c r="AE64" i="1"/>
  <c r="AD65" i="1"/>
  <c r="AE66" i="1"/>
  <c r="AD74" i="1"/>
  <c r="AE71" i="1"/>
  <c r="AD73" i="1"/>
  <c r="AE72" i="1"/>
  <c r="AE74" i="1"/>
  <c r="AE80" i="1"/>
  <c r="AD81" i="1"/>
  <c r="AE82" i="1"/>
  <c r="AD87" i="1"/>
  <c r="AD89" i="1"/>
  <c r="AE88" i="1"/>
  <c r="AE90" i="1"/>
  <c r="AD98" i="1"/>
  <c r="AE96" i="1"/>
  <c r="AE98" i="1"/>
  <c r="AD97" i="1"/>
  <c r="AE26" i="1"/>
  <c r="AD10" i="1"/>
  <c r="AD18" i="1"/>
  <c r="AE34" i="1"/>
  <c r="I153" i="1"/>
  <c r="I152" i="1"/>
  <c r="I146" i="1"/>
  <c r="I140" i="1"/>
  <c r="I151" i="1"/>
  <c r="I155" i="1"/>
  <c r="I162" i="1"/>
  <c r="I142" i="1"/>
  <c r="I148" i="1"/>
  <c r="I154" i="1"/>
  <c r="I171" i="1"/>
  <c r="I163" i="1"/>
  <c r="I144" i="1"/>
  <c r="I150" i="1"/>
  <c r="I173" i="1"/>
  <c r="I159" i="1"/>
  <c r="I165" i="1"/>
  <c r="I160" i="1"/>
  <c r="I166" i="1"/>
  <c r="I141" i="1"/>
  <c r="I147" i="1"/>
  <c r="AF98" i="1" l="1"/>
  <c r="AF71" i="1"/>
  <c r="U71" i="1" s="1"/>
  <c r="AF49" i="1"/>
  <c r="AF18" i="1"/>
  <c r="AF48" i="1"/>
  <c r="AF55" i="1"/>
  <c r="AF79" i="1"/>
  <c r="R79" i="1" s="1"/>
  <c r="AF80" i="1"/>
  <c r="AF74" i="1"/>
  <c r="AF82" i="1"/>
  <c r="AF81" i="1"/>
  <c r="T81" i="1" s="1"/>
  <c r="AF97" i="1"/>
  <c r="AF23" i="1"/>
  <c r="N26" i="1" s="1"/>
  <c r="AF41" i="1"/>
  <c r="AF42" i="1"/>
  <c r="AF47" i="1"/>
  <c r="AF56" i="1"/>
  <c r="AF57" i="1"/>
  <c r="AF66" i="1"/>
  <c r="AF88" i="1"/>
  <c r="AF96" i="1"/>
  <c r="AF95" i="1"/>
  <c r="AF87" i="1"/>
  <c r="M88" i="1" s="1"/>
  <c r="I126" i="1" s="1"/>
  <c r="AF89" i="1"/>
  <c r="AF73" i="1"/>
  <c r="AF65" i="1"/>
  <c r="AF64" i="1"/>
  <c r="AF58" i="1"/>
  <c r="AF40" i="1"/>
  <c r="AF34" i="1"/>
  <c r="AF7" i="1"/>
  <c r="R7" i="1" s="1"/>
  <c r="AF16" i="1"/>
  <c r="AF25" i="1"/>
  <c r="AF26" i="1"/>
  <c r="AF33" i="1"/>
  <c r="AF39" i="1"/>
  <c r="AF50" i="1"/>
  <c r="Q50" i="1" s="1"/>
  <c r="P47" i="1"/>
  <c r="AF63" i="1"/>
  <c r="S63" i="1" s="1"/>
  <c r="AF72" i="1"/>
  <c r="AF90" i="1"/>
  <c r="AF9" i="1"/>
  <c r="U79" i="1"/>
  <c r="S81" i="1"/>
  <c r="R81" i="1"/>
  <c r="O79" i="1"/>
  <c r="R80" i="1"/>
  <c r="Q81" i="1"/>
  <c r="M79" i="1"/>
  <c r="I123" i="1" s="1"/>
  <c r="T79" i="1"/>
  <c r="R71" i="1"/>
  <c r="P71" i="1"/>
  <c r="O71" i="1"/>
  <c r="T71" i="1"/>
  <c r="AF8" i="1"/>
  <c r="AF15" i="1"/>
  <c r="AF17" i="1"/>
  <c r="AF31" i="1"/>
  <c r="AF32" i="1"/>
  <c r="AF10" i="1"/>
  <c r="AF24" i="1"/>
  <c r="N98" i="1" l="1"/>
  <c r="N88" i="1"/>
  <c r="O87" i="1"/>
  <c r="U88" i="1"/>
  <c r="U90" i="1"/>
  <c r="T87" i="1"/>
  <c r="P87" i="1"/>
  <c r="S90" i="1"/>
  <c r="S89" i="1"/>
  <c r="T90" i="1"/>
  <c r="M90" i="1"/>
  <c r="Q89" i="1"/>
  <c r="O89" i="1"/>
  <c r="M87" i="1"/>
  <c r="I125" i="1" s="1"/>
  <c r="M89" i="1"/>
  <c r="A310" i="1" s="1"/>
  <c r="F310" i="1" s="1"/>
  <c r="T89" i="1"/>
  <c r="N89" i="1"/>
  <c r="N90" i="1"/>
  <c r="P88" i="1"/>
  <c r="U87" i="1"/>
  <c r="P90" i="1"/>
  <c r="U89" i="1"/>
  <c r="R90" i="1"/>
  <c r="U80" i="1"/>
  <c r="M80" i="1"/>
  <c r="I124" i="1" s="1"/>
  <c r="O80" i="1"/>
  <c r="T82" i="1"/>
  <c r="N79" i="1"/>
  <c r="N80" i="1"/>
  <c r="Q79" i="1"/>
  <c r="P82" i="1"/>
  <c r="Q80" i="1"/>
  <c r="U81" i="1"/>
  <c r="Q82" i="1"/>
  <c r="R82" i="1"/>
  <c r="O82" i="1"/>
  <c r="M82" i="1"/>
  <c r="O81" i="1"/>
  <c r="N82" i="1"/>
  <c r="U82" i="1"/>
  <c r="M81" i="1"/>
  <c r="A309" i="1" s="1"/>
  <c r="F309" i="1" s="1"/>
  <c r="S79" i="1"/>
  <c r="P79" i="1"/>
  <c r="S80" i="1"/>
  <c r="S82" i="1"/>
  <c r="T80" i="1"/>
  <c r="P81" i="1"/>
  <c r="N81" i="1"/>
  <c r="P80" i="1"/>
  <c r="D309" i="1"/>
  <c r="C309" i="1"/>
  <c r="B309" i="1"/>
  <c r="Q72" i="1"/>
  <c r="P57" i="1"/>
  <c r="T55" i="1"/>
  <c r="N49" i="1"/>
  <c r="M49" i="1"/>
  <c r="A305" i="1" s="1"/>
  <c r="F305" i="1" s="1"/>
  <c r="T49" i="1"/>
  <c r="O49" i="1"/>
  <c r="P49" i="1"/>
  <c r="O50" i="1"/>
  <c r="S49" i="1"/>
  <c r="N50" i="1"/>
  <c r="Q49" i="1"/>
  <c r="R49" i="1"/>
  <c r="U49" i="1"/>
  <c r="P9" i="1"/>
  <c r="B305" i="1"/>
  <c r="B306" i="1"/>
  <c r="N57" i="1"/>
  <c r="R57" i="1"/>
  <c r="T57" i="1"/>
  <c r="M57" i="1"/>
  <c r="A306" i="1" s="1"/>
  <c r="F306" i="1" s="1"/>
  <c r="D306" i="1"/>
  <c r="Q57" i="1"/>
  <c r="U57" i="1"/>
  <c r="C306" i="1"/>
  <c r="O57" i="1"/>
  <c r="S57" i="1"/>
  <c r="C310" i="1"/>
  <c r="D310" i="1"/>
  <c r="N95" i="1"/>
  <c r="O95" i="1"/>
  <c r="Q95" i="1"/>
  <c r="M98" i="1"/>
  <c r="D311" i="1"/>
  <c r="U98" i="1"/>
  <c r="P95" i="1"/>
  <c r="U95" i="1"/>
  <c r="P96" i="1"/>
  <c r="O96" i="1"/>
  <c r="R95" i="1"/>
  <c r="U97" i="1"/>
  <c r="O97" i="1"/>
  <c r="T98" i="1"/>
  <c r="B311" i="1"/>
  <c r="P98" i="1"/>
  <c r="Q97" i="1"/>
  <c r="Q96" i="1"/>
  <c r="R97" i="1"/>
  <c r="O98" i="1"/>
  <c r="M97" i="1"/>
  <c r="A311" i="1" s="1"/>
  <c r="F311" i="1" s="1"/>
  <c r="N97" i="1"/>
  <c r="C311" i="1"/>
  <c r="T96" i="1"/>
  <c r="R96" i="1"/>
  <c r="S95" i="1"/>
  <c r="S97" i="1"/>
  <c r="U96" i="1"/>
  <c r="S98" i="1"/>
  <c r="T95" i="1"/>
  <c r="N96" i="1"/>
  <c r="P97" i="1"/>
  <c r="S96" i="1"/>
  <c r="Q98" i="1"/>
  <c r="M95" i="1"/>
  <c r="I127" i="1" s="1"/>
  <c r="R98" i="1"/>
  <c r="M96" i="1"/>
  <c r="I128" i="1" s="1"/>
  <c r="Q26" i="1"/>
  <c r="S26" i="1"/>
  <c r="O26" i="1"/>
  <c r="S23" i="1"/>
  <c r="T23" i="1"/>
  <c r="T24" i="1"/>
  <c r="R25" i="1"/>
  <c r="M26" i="1"/>
  <c r="R26" i="1"/>
  <c r="P26" i="1"/>
  <c r="U26" i="1"/>
  <c r="T26" i="1"/>
  <c r="U7" i="1"/>
  <c r="D302" i="1"/>
  <c r="M58" i="1"/>
  <c r="U58" i="1"/>
  <c r="S58" i="1"/>
  <c r="U55" i="1"/>
  <c r="R55" i="1"/>
  <c r="O55" i="1"/>
  <c r="P56" i="1"/>
  <c r="O58" i="1"/>
  <c r="P58" i="1"/>
  <c r="M56" i="1"/>
  <c r="I118" i="1" s="1"/>
  <c r="P55" i="1"/>
  <c r="U56" i="1"/>
  <c r="N55" i="1"/>
  <c r="O56" i="1"/>
  <c r="R56" i="1"/>
  <c r="S56" i="1"/>
  <c r="Q58" i="1"/>
  <c r="Q55" i="1"/>
  <c r="S55" i="1"/>
  <c r="T58" i="1"/>
  <c r="N58" i="1"/>
  <c r="N56" i="1"/>
  <c r="M55" i="1"/>
  <c r="I117" i="1" s="1"/>
  <c r="T56" i="1"/>
  <c r="R58" i="1"/>
  <c r="N71" i="1"/>
  <c r="Q71" i="1"/>
  <c r="M71" i="1"/>
  <c r="I121" i="1" s="1"/>
  <c r="S71" i="1"/>
  <c r="O88" i="1"/>
  <c r="Q90" i="1"/>
  <c r="R89" i="1"/>
  <c r="T88" i="1"/>
  <c r="B310" i="1"/>
  <c r="S87" i="1"/>
  <c r="P89" i="1"/>
  <c r="O90" i="1"/>
  <c r="S88" i="1"/>
  <c r="Q88" i="1"/>
  <c r="R87" i="1"/>
  <c r="N87" i="1"/>
  <c r="Q87" i="1"/>
  <c r="R88" i="1"/>
  <c r="T97" i="1"/>
  <c r="T73" i="1"/>
  <c r="B308" i="1"/>
  <c r="R72" i="1"/>
  <c r="U73" i="1"/>
  <c r="C308" i="1"/>
  <c r="U72" i="1"/>
  <c r="U74" i="1"/>
  <c r="R74" i="1"/>
  <c r="O74" i="1"/>
  <c r="N73" i="1"/>
  <c r="O72" i="1"/>
  <c r="Q73" i="1"/>
  <c r="D308" i="1"/>
  <c r="N72" i="1"/>
  <c r="S73" i="1"/>
  <c r="N74" i="1"/>
  <c r="O73" i="1"/>
  <c r="T72" i="1"/>
  <c r="M72" i="1"/>
  <c r="I122" i="1" s="1"/>
  <c r="S74" i="1"/>
  <c r="T74" i="1"/>
  <c r="P72" i="1"/>
  <c r="Q74" i="1"/>
  <c r="M73" i="1"/>
  <c r="A308" i="1" s="1"/>
  <c r="F308" i="1" s="1"/>
  <c r="M74" i="1"/>
  <c r="P74" i="1"/>
  <c r="P73" i="1"/>
  <c r="R73" i="1"/>
  <c r="S72" i="1"/>
  <c r="M63" i="1"/>
  <c r="I119" i="1" s="1"/>
  <c r="U64" i="1"/>
  <c r="S66" i="1"/>
  <c r="Q66" i="1"/>
  <c r="P64" i="1"/>
  <c r="M66" i="1"/>
  <c r="N63" i="1"/>
  <c r="Q63" i="1"/>
  <c r="N66" i="1"/>
  <c r="O63" i="1"/>
  <c r="R66" i="1"/>
  <c r="T66" i="1"/>
  <c r="P63" i="1"/>
  <c r="S64" i="1"/>
  <c r="O66" i="1"/>
  <c r="Q56" i="1"/>
  <c r="S48" i="1"/>
  <c r="T48" i="1"/>
  <c r="Q48" i="1"/>
  <c r="P48" i="1"/>
  <c r="N48" i="1"/>
  <c r="O48" i="1"/>
  <c r="R48" i="1"/>
  <c r="M48" i="1"/>
  <c r="I116" i="1" s="1"/>
  <c r="U48" i="1"/>
  <c r="C304" i="1"/>
  <c r="S40" i="1"/>
  <c r="N40" i="1"/>
  <c r="M42" i="1"/>
  <c r="T40" i="1"/>
  <c r="O40" i="1"/>
  <c r="M40" i="1"/>
  <c r="I114" i="1" s="1"/>
  <c r="T42" i="1"/>
  <c r="U42" i="1"/>
  <c r="U40" i="1"/>
  <c r="R40" i="1"/>
  <c r="Q40" i="1"/>
  <c r="P42" i="1"/>
  <c r="P40" i="1"/>
  <c r="O42" i="1"/>
  <c r="U39" i="1"/>
  <c r="R41" i="1"/>
  <c r="P39" i="1"/>
  <c r="P41" i="1"/>
  <c r="R42" i="1"/>
  <c r="M39" i="1"/>
  <c r="I113" i="1" s="1"/>
  <c r="D304" i="1"/>
  <c r="Q42" i="1"/>
  <c r="S42" i="1"/>
  <c r="M41" i="1"/>
  <c r="A304" i="1" s="1"/>
  <c r="F304" i="1" s="1"/>
  <c r="R39" i="1"/>
  <c r="O39" i="1"/>
  <c r="N42" i="1"/>
  <c r="S41" i="1"/>
  <c r="N41" i="1"/>
  <c r="T41" i="1"/>
  <c r="S39" i="1"/>
  <c r="T39" i="1"/>
  <c r="Q41" i="1"/>
  <c r="U41" i="1"/>
  <c r="B304" i="1"/>
  <c r="Q39" i="1"/>
  <c r="N39" i="1"/>
  <c r="O41" i="1"/>
  <c r="M10" i="1"/>
  <c r="P10" i="1"/>
  <c r="Q10" i="1"/>
  <c r="U10" i="1"/>
  <c r="S10" i="1"/>
  <c r="O10" i="1"/>
  <c r="T10" i="1"/>
  <c r="R9" i="1"/>
  <c r="S8" i="1"/>
  <c r="N10" i="1"/>
  <c r="R10" i="1"/>
  <c r="P8" i="1"/>
  <c r="Q9" i="1"/>
  <c r="C302" i="1"/>
  <c r="C305" i="1"/>
  <c r="D305" i="1"/>
  <c r="S50" i="1"/>
  <c r="R50" i="1"/>
  <c r="P50" i="1"/>
  <c r="T50" i="1"/>
  <c r="N47" i="1"/>
  <c r="S47" i="1"/>
  <c r="U50" i="1"/>
  <c r="R47" i="1"/>
  <c r="M50" i="1"/>
  <c r="M47" i="1"/>
  <c r="I115" i="1" s="1"/>
  <c r="O47" i="1"/>
  <c r="T47" i="1"/>
  <c r="Q47" i="1"/>
  <c r="U47" i="1"/>
  <c r="U66" i="1"/>
  <c r="O65" i="1"/>
  <c r="T65" i="1"/>
  <c r="T64" i="1"/>
  <c r="S65" i="1"/>
  <c r="R65" i="1"/>
  <c r="N64" i="1"/>
  <c r="U65" i="1"/>
  <c r="Q65" i="1"/>
  <c r="D307" i="1"/>
  <c r="M64" i="1"/>
  <c r="I120" i="1" s="1"/>
  <c r="C307" i="1"/>
  <c r="N65" i="1"/>
  <c r="B307" i="1"/>
  <c r="M65" i="1"/>
  <c r="A307" i="1" s="1"/>
  <c r="F307" i="1" s="1"/>
  <c r="P65" i="1"/>
  <c r="O64" i="1"/>
  <c r="P66" i="1"/>
  <c r="R63" i="1"/>
  <c r="R64" i="1"/>
  <c r="U63" i="1"/>
  <c r="Q64" i="1"/>
  <c r="T63" i="1"/>
  <c r="N24" i="1"/>
  <c r="B302" i="1"/>
  <c r="N9" i="1"/>
  <c r="M8" i="1"/>
  <c r="I106" i="1" s="1"/>
  <c r="T8" i="1"/>
  <c r="O24" i="1"/>
  <c r="S25" i="1"/>
  <c r="O23" i="1"/>
  <c r="Q24" i="1"/>
  <c r="U24" i="1"/>
  <c r="M7" i="1"/>
  <c r="I105" i="1" s="1"/>
  <c r="B300" i="1"/>
  <c r="M25" i="1"/>
  <c r="A302" i="1" s="1"/>
  <c r="F302" i="1" s="1"/>
  <c r="M23" i="1"/>
  <c r="I109" i="1" s="1"/>
  <c r="O25" i="1"/>
  <c r="T9" i="1"/>
  <c r="S9" i="1"/>
  <c r="C300" i="1"/>
  <c r="U23" i="1"/>
  <c r="R8" i="1"/>
  <c r="U8" i="1"/>
  <c r="Q23" i="1"/>
  <c r="R24" i="1"/>
  <c r="U25" i="1"/>
  <c r="P23" i="1"/>
  <c r="Q8" i="1"/>
  <c r="Q7" i="1"/>
  <c r="O9" i="1"/>
  <c r="R23" i="1"/>
  <c r="N25" i="1"/>
  <c r="N23" i="1"/>
  <c r="P25" i="1"/>
  <c r="D300" i="1"/>
  <c r="N7" i="1"/>
  <c r="M24" i="1"/>
  <c r="I110" i="1" s="1"/>
  <c r="S24" i="1"/>
  <c r="S7" i="1"/>
  <c r="N8" i="1"/>
  <c r="O7" i="1"/>
  <c r="D301" i="1"/>
  <c r="C301" i="1"/>
  <c r="B301" i="1"/>
  <c r="P17" i="1"/>
  <c r="P15" i="1"/>
  <c r="O17" i="1"/>
  <c r="U16" i="1"/>
  <c r="O15" i="1"/>
  <c r="U18" i="1"/>
  <c r="P18" i="1"/>
  <c r="P16" i="1"/>
  <c r="R18" i="1"/>
  <c r="N15" i="1"/>
  <c r="M15" i="1"/>
  <c r="I107" i="1" s="1"/>
  <c r="T17" i="1"/>
  <c r="M18" i="1"/>
  <c r="Q18" i="1"/>
  <c r="U17" i="1"/>
  <c r="O18" i="1"/>
  <c r="N18" i="1"/>
  <c r="S17" i="1"/>
  <c r="Q17" i="1"/>
  <c r="S16" i="1"/>
  <c r="Q15" i="1"/>
  <c r="T16" i="1"/>
  <c r="N17" i="1"/>
  <c r="R16" i="1"/>
  <c r="M17" i="1"/>
  <c r="A301" i="1" s="1"/>
  <c r="F301" i="1" s="1"/>
  <c r="Q16" i="1"/>
  <c r="U15" i="1"/>
  <c r="O16" i="1"/>
  <c r="T15" i="1"/>
  <c r="R17" i="1"/>
  <c r="N16" i="1"/>
  <c r="S15" i="1"/>
  <c r="S18" i="1"/>
  <c r="T18" i="1"/>
  <c r="M16" i="1"/>
  <c r="I108" i="1" s="1"/>
  <c r="R15" i="1"/>
  <c r="T25" i="1"/>
  <c r="Q25" i="1"/>
  <c r="P24" i="1"/>
  <c r="T7" i="1"/>
  <c r="U9" i="1"/>
  <c r="P7" i="1"/>
  <c r="O34" i="1"/>
  <c r="U33" i="1"/>
  <c r="O32" i="1"/>
  <c r="U31" i="1"/>
  <c r="D303" i="1"/>
  <c r="C303" i="1"/>
  <c r="B303" i="1"/>
  <c r="P33" i="1"/>
  <c r="P31" i="1"/>
  <c r="U34" i="1"/>
  <c r="U32" i="1"/>
  <c r="O31" i="1"/>
  <c r="O33" i="1"/>
  <c r="Q34" i="1"/>
  <c r="Q32" i="1"/>
  <c r="P34" i="1"/>
  <c r="P32" i="1"/>
  <c r="N33" i="1"/>
  <c r="N32" i="1"/>
  <c r="R31" i="1"/>
  <c r="M33" i="1"/>
  <c r="A303" i="1" s="1"/>
  <c r="F303" i="1" s="1"/>
  <c r="Q31" i="1"/>
  <c r="M32" i="1"/>
  <c r="I112" i="1" s="1"/>
  <c r="N31" i="1"/>
  <c r="M31" i="1"/>
  <c r="I111" i="1" s="1"/>
  <c r="T34" i="1"/>
  <c r="S34" i="1"/>
  <c r="T33" i="1"/>
  <c r="R34" i="1"/>
  <c r="S33" i="1"/>
  <c r="T32" i="1"/>
  <c r="M34" i="1"/>
  <c r="R32" i="1"/>
  <c r="N34" i="1"/>
  <c r="R33" i="1"/>
  <c r="S32" i="1"/>
  <c r="T31" i="1"/>
  <c r="Q33" i="1"/>
  <c r="S31" i="1"/>
  <c r="O8" i="1"/>
  <c r="M9" i="1"/>
  <c r="A300" i="1" s="1"/>
  <c r="F300" i="1" s="1"/>
  <c r="E311" i="1" l="1"/>
  <c r="E309" i="1"/>
  <c r="E307" i="1"/>
  <c r="E305" i="1"/>
  <c r="E303" i="1"/>
  <c r="E301" i="1"/>
  <c r="E308" i="1"/>
  <c r="E310" i="1"/>
  <c r="E306" i="1"/>
  <c r="E304" i="1"/>
  <c r="E302" i="1"/>
  <c r="E300" i="1"/>
  <c r="I132" i="1" l="1"/>
  <c r="I131" i="1"/>
  <c r="I136" i="1"/>
  <c r="I130" i="1"/>
  <c r="I135" i="1"/>
  <c r="I129" i="1"/>
  <c r="I134" i="1"/>
  <c r="I133" i="1"/>
</calcChain>
</file>

<file path=xl/sharedStrings.xml><?xml version="1.0" encoding="utf-8"?>
<sst xmlns="http://schemas.openxmlformats.org/spreadsheetml/2006/main" count="943" uniqueCount="167">
  <si>
    <t>⚽  VM 2026  –  MINE TIPS</t>
  </si>
  <si>
    <t>📊  GRUPPETABELLER  –  live fra dine tips</t>
  </si>
  <si>
    <t>Ditt navn/Lagnavn:</t>
  </si>
  <si>
    <t>🟢 = 1. plass  •  🟡 = 2. plass   →  videre til sluttspill</t>
  </si>
  <si>
    <t>POENGGIVING (gruppe): Riktig utfall=1p  |  Riktig eksakt=3p   ·   SLUTTSPILL: riktig lag videre: 16-dels=1p · 8-dels=2p · Kvart=3p · Semi=4p · Finale=6p</t>
  </si>
  <si>
    <t>Sp  V  U  T  M+  M-  +/-  P   (sortert etter poeng → målforskjell → mål for)</t>
  </si>
  <si>
    <t xml:space="preserve">  GRUPPE  A</t>
  </si>
  <si>
    <t>GRUPPE A</t>
  </si>
  <si>
    <t>#</t>
  </si>
  <si>
    <t>Gr</t>
  </si>
  <si>
    <t>Hjemmelag</t>
  </si>
  <si>
    <t>HM</t>
  </si>
  <si>
    <t>BM</t>
  </si>
  <si>
    <t>Bortelag</t>
  </si>
  <si>
    <t>Dato</t>
  </si>
  <si>
    <t>Tid (NO)</t>
  </si>
  <si>
    <t>Sted</t>
  </si>
  <si>
    <t>TV</t>
  </si>
  <si>
    <t>Lag</t>
  </si>
  <si>
    <t>Sp</t>
  </si>
  <si>
    <t>V</t>
  </si>
  <si>
    <t>U</t>
  </si>
  <si>
    <t>T</t>
  </si>
  <si>
    <t>M+</t>
  </si>
  <si>
    <t>M-</t>
  </si>
  <si>
    <t>+/-</t>
  </si>
  <si>
    <t>P</t>
  </si>
  <si>
    <t>A</t>
  </si>
  <si>
    <t>Mexico</t>
  </si>
  <si>
    <t>–</t>
  </si>
  <si>
    <t>Sør-Afrika</t>
  </si>
  <si>
    <t>11. jun</t>
  </si>
  <si>
    <t>21:00</t>
  </si>
  <si>
    <t>Mexico City</t>
  </si>
  <si>
    <t>TV2</t>
  </si>
  <si>
    <t>Sør-Korea</t>
  </si>
  <si>
    <t>Tsjekkia</t>
  </si>
  <si>
    <t>12. jun</t>
  </si>
  <si>
    <t>04:00</t>
  </si>
  <si>
    <t>Guadalajara</t>
  </si>
  <si>
    <t>NRK</t>
  </si>
  <si>
    <t>18. jun</t>
  </si>
  <si>
    <t>18:00</t>
  </si>
  <si>
    <t>Atlanta</t>
  </si>
  <si>
    <t>19. jun</t>
  </si>
  <si>
    <t>03:00</t>
  </si>
  <si>
    <t>25. jun</t>
  </si>
  <si>
    <t>Monterrey</t>
  </si>
  <si>
    <t xml:space="preserve">  GRUPPE  B</t>
  </si>
  <si>
    <t>GRUPPE B</t>
  </si>
  <si>
    <t>B</t>
  </si>
  <si>
    <t>Canada</t>
  </si>
  <si>
    <t>Bosnia-Hercegovina</t>
  </si>
  <si>
    <t>Toronto</t>
  </si>
  <si>
    <t>Qatar</t>
  </si>
  <si>
    <t>Sveits</t>
  </si>
  <si>
    <t>13. jun</t>
  </si>
  <si>
    <t>San Francisco</t>
  </si>
  <si>
    <t>Los Angeles</t>
  </si>
  <si>
    <t>00:00</t>
  </si>
  <si>
    <t>Vancouver</t>
  </si>
  <si>
    <t>24. jun</t>
  </si>
  <si>
    <t>Seattle</t>
  </si>
  <si>
    <t xml:space="preserve">  GRUPPE  C</t>
  </si>
  <si>
    <t>GRUPPE C</t>
  </si>
  <si>
    <t>C</t>
  </si>
  <si>
    <t>Brasil</t>
  </si>
  <si>
    <t>Marokko</t>
  </si>
  <si>
    <t>14. jun</t>
  </si>
  <si>
    <t>New York</t>
  </si>
  <si>
    <t>Haiti</t>
  </si>
  <si>
    <t>Skottland</t>
  </si>
  <si>
    <t>Boston</t>
  </si>
  <si>
    <t>20. jun</t>
  </si>
  <si>
    <t>Philadelphia</t>
  </si>
  <si>
    <t>Miami</t>
  </si>
  <si>
    <t xml:space="preserve">  GRUPPE  D</t>
  </si>
  <si>
    <t>GRUPPE D</t>
  </si>
  <si>
    <t>D</t>
  </si>
  <si>
    <t>USA</t>
  </si>
  <si>
    <t>Paraguay</t>
  </si>
  <si>
    <t>Australia</t>
  </si>
  <si>
    <t>Tyrkia</t>
  </si>
  <si>
    <t>06:00</t>
  </si>
  <si>
    <t>26. jun</t>
  </si>
  <si>
    <t xml:space="preserve">  GRUPPE  E</t>
  </si>
  <si>
    <t>GRUPPE E</t>
  </si>
  <si>
    <t>E</t>
  </si>
  <si>
    <t>Tyskland</t>
  </si>
  <si>
    <t>Curaçao</t>
  </si>
  <si>
    <t>19:00</t>
  </si>
  <si>
    <t>Houston</t>
  </si>
  <si>
    <t>Elfenbenskysten</t>
  </si>
  <si>
    <t>Ecuador</t>
  </si>
  <si>
    <t>15. jun</t>
  </si>
  <si>
    <t>01:00</t>
  </si>
  <si>
    <t>22:00</t>
  </si>
  <si>
    <t>21. jun</t>
  </si>
  <si>
    <t>02:00</t>
  </si>
  <si>
    <t>Kansas City</t>
  </si>
  <si>
    <t xml:space="preserve">  GRUPPE  F</t>
  </si>
  <si>
    <t>GRUPPE F</t>
  </si>
  <si>
    <t>F</t>
  </si>
  <si>
    <t>Nederland</t>
  </si>
  <si>
    <t>Japan</t>
  </si>
  <si>
    <t>Dallas</t>
  </si>
  <si>
    <t>Sverige</t>
  </si>
  <si>
    <t>Tunisia</t>
  </si>
  <si>
    <t xml:space="preserve">  GRUPPE  G</t>
  </si>
  <si>
    <t>GRUPPE G</t>
  </si>
  <si>
    <t>G</t>
  </si>
  <si>
    <t>Belgia</t>
  </si>
  <si>
    <t>Egypt</t>
  </si>
  <si>
    <t>Iran</t>
  </si>
  <si>
    <t>New Zealand</t>
  </si>
  <si>
    <t>16. jun</t>
  </si>
  <si>
    <t>22. jun</t>
  </si>
  <si>
    <t>27. jun</t>
  </si>
  <si>
    <t>05:00</t>
  </si>
  <si>
    <t xml:space="preserve">  GRUPPE  H</t>
  </si>
  <si>
    <t>GRUPPE H</t>
  </si>
  <si>
    <t>H</t>
  </si>
  <si>
    <t>Spania</t>
  </si>
  <si>
    <t>Kapp Verde</t>
  </si>
  <si>
    <t>Saudi Arabia</t>
  </si>
  <si>
    <t>Uruguay</t>
  </si>
  <si>
    <t xml:space="preserve">  GRUPPE  I  ⭐ NORGES GRUPPE</t>
  </si>
  <si>
    <t>GRUPPE I ⭐</t>
  </si>
  <si>
    <t>I</t>
  </si>
  <si>
    <t>Frankrike</t>
  </si>
  <si>
    <t>Senegal</t>
  </si>
  <si>
    <t>Irak</t>
  </si>
  <si>
    <t>Norge</t>
  </si>
  <si>
    <t>17. jun</t>
  </si>
  <si>
    <t>23:00</t>
  </si>
  <si>
    <t>23. jun</t>
  </si>
  <si>
    <t xml:space="preserve">  GRUPPE  J</t>
  </si>
  <si>
    <t>GRUPPE J</t>
  </si>
  <si>
    <t>J</t>
  </si>
  <si>
    <t>Argentina</t>
  </si>
  <si>
    <t>Algerie</t>
  </si>
  <si>
    <t>Østerrike</t>
  </si>
  <si>
    <t>Jordan</t>
  </si>
  <si>
    <t xml:space="preserve">  GRUPPE  K</t>
  </si>
  <si>
    <t>GRUPPE K</t>
  </si>
  <si>
    <t>K</t>
  </si>
  <si>
    <t>Portugal</t>
  </si>
  <si>
    <t>DR Kongo</t>
  </si>
  <si>
    <t>Usbekistan</t>
  </si>
  <si>
    <t>Colombia</t>
  </si>
  <si>
    <t>19:30</t>
  </si>
  <si>
    <t xml:space="preserve">  GRUPPE  L</t>
  </si>
  <si>
    <t>GRUPPE L</t>
  </si>
  <si>
    <t>L</t>
  </si>
  <si>
    <t>England</t>
  </si>
  <si>
    <t>Kroatia</t>
  </si>
  <si>
    <t>Ghana</t>
  </si>
  <si>
    <t>Panama</t>
  </si>
  <si>
    <t>⚽  SLUTTSPILL – DINE TIPS</t>
  </si>
  <si>
    <t>Skriv 1 i boksen for å velge laget – lagene cascader automatisk til neste runde</t>
  </si>
  <si>
    <t xml:space="preserve">  16-DELSFINALE  —  velg 16 lag som går videre</t>
  </si>
  <si>
    <t xml:space="preserve">  ÅTTEDELSFINALE  —  velg 8 lag</t>
  </si>
  <si>
    <t xml:space="preserve">  KVARTFINALE  —  velg 4 lag</t>
  </si>
  <si>
    <t xml:space="preserve">  SEMIFINALE  —  velg 2 lag</t>
  </si>
  <si>
    <t xml:space="preserve">  FINALE  —  velg vinneren  🏆</t>
  </si>
  <si>
    <t>Makedonia</t>
  </si>
  <si>
    <t>Bjarte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</si>
</sst>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;;;\□"/>
  </numFmts>
  <fonts count="24" x14ac:knownFonts="1">
    <font>
      <sz val="11"/>
      <color theme="1"/>
      <name val="Calibri"/>
      <family val="2"/>
      <charset val="1"/>
    </font>
    <font>
      <b/>
      <sz val="16"/>
      <color rgb="FFF5A623"/>
      <name val="Calibri"/>
      <charset val="1"/>
    </font>
    <font>
      <b/>
      <sz val="11"/>
      <color rgb="FFF5A623"/>
      <name val="Calibri"/>
      <charset val="1"/>
    </font>
    <font>
      <b/>
      <sz val="12"/>
      <color rgb="FFFFFFFF"/>
      <name val="Calibri"/>
      <charset val="1"/>
    </font>
    <font>
      <b/>
      <sz val="12"/>
      <color rgb="FFF5A623"/>
      <name val="Calibri"/>
      <charset val="1"/>
    </font>
    <font>
      <i/>
      <sz val="9"/>
      <color rgb="FF1A5276"/>
      <name val="Calibri"/>
      <charset val="1"/>
    </font>
    <font>
      <i/>
      <sz val="10"/>
      <color rgb="FF1A1A2E"/>
      <name val="Calibri"/>
      <charset val="1"/>
    </font>
    <font>
      <i/>
      <sz val="9"/>
      <color rgb="FF1A1A2E"/>
      <name val="Calibri"/>
      <charset val="1"/>
    </font>
    <font>
      <b/>
      <sz val="11"/>
      <color rgb="FFFFFFFF"/>
      <name val="Calibri"/>
      <charset val="1"/>
    </font>
    <font>
      <b/>
      <sz val="10"/>
      <color rgb="FFF5A623"/>
      <name val="Calibri"/>
      <charset val="1"/>
    </font>
    <font>
      <b/>
      <sz val="9"/>
      <color rgb="FFFFFFFF"/>
      <name val="Calibri"/>
      <charset val="1"/>
    </font>
    <font>
      <sz val="10"/>
      <color rgb="FF1A1A2E"/>
      <name val="Calibri"/>
      <charset val="1"/>
    </font>
    <font>
      <b/>
      <sz val="12"/>
      <color rgb="FF1A1A2E"/>
      <name val="Calibri"/>
      <charset val="1"/>
    </font>
    <font>
      <b/>
      <sz val="10"/>
      <color rgb="FFFFFFFF"/>
      <name val="Calibri"/>
      <charset val="1"/>
    </font>
    <font>
      <sz val="11"/>
      <color rgb="FF1A1A2E"/>
      <name val="Calibri"/>
      <charset val="1"/>
    </font>
    <font>
      <b/>
      <sz val="14"/>
      <color rgb="FFF5A623"/>
      <name val="Calibri"/>
      <charset val="1"/>
    </font>
    <font>
      <i/>
      <sz val="9"/>
      <color rgb="FF64748B"/>
      <name val="Calibri"/>
      <charset val="1"/>
    </font>
    <font>
      <b/>
      <sz val="10"/>
      <color rgb="FF334155"/>
      <name val="Calibri"/>
      <charset val="1"/>
    </font>
    <font>
      <b/>
      <sz val="14"/>
      <color rgb="FF3B82F6"/>
      <name val="Calibri"/>
      <charset val="1"/>
    </font>
    <font>
      <sz val="11"/>
      <color rgb="FF1E293B"/>
      <name val="Calibri"/>
      <charset val="1"/>
    </font>
    <font>
      <b/>
      <sz val="14"/>
      <color rgb="FF22C55E"/>
      <name val="Calibri"/>
      <charset val="1"/>
    </font>
    <font>
      <b/>
      <sz val="14"/>
      <color rgb="FF8B5CF6"/>
      <name val="Calibri"/>
      <charset val="1"/>
    </font>
    <font>
      <b/>
      <sz val="14"/>
      <color rgb="FFF97316"/>
      <name val="Calibri"/>
      <charset val="1"/>
    </font>
    <font>
      <b/>
      <sz val="14"/>
      <color rgb="FFEAB308"/>
      <name val="Calibri"/>
      <charset val="1"/>
    </font>
  </fonts>
  <fills count="3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4E79"/>
        <bgColor rgb="FF1A5276"/>
      </patternFill>
    </fill>
    <fill>
      <patternFill patternType="solid">
        <fgColor rgb="FF16213E"/>
        <bgColor rgb="FF1E293B"/>
      </patternFill>
    </fill>
    <fill>
      <patternFill patternType="solid">
        <fgColor rgb="FFE94560"/>
        <bgColor rgb="FFF97316"/>
      </patternFill>
    </fill>
    <fill>
      <patternFill patternType="solid">
        <fgColor rgb="FFEBF5FB"/>
        <bgColor rgb="FFEFF6FF"/>
      </patternFill>
    </fill>
    <fill>
      <patternFill patternType="solid">
        <fgColor rgb="FFF5F5F5"/>
        <bgColor rgb="FFF4F6F8"/>
      </patternFill>
    </fill>
    <fill>
      <patternFill patternType="solid">
        <fgColor rgb="FFF0F7FF"/>
        <bgColor rgb="FFEFF6FF"/>
      </patternFill>
    </fill>
    <fill>
      <patternFill patternType="solid">
        <fgColor rgb="FF0F3460"/>
        <bgColor rgb="FF1E3A8A"/>
      </patternFill>
    </fill>
    <fill>
      <patternFill patternType="solid">
        <fgColor rgb="FFFFFFFF"/>
        <bgColor rgb="FFF8FAFC"/>
      </patternFill>
    </fill>
    <fill>
      <patternFill patternType="solid">
        <fgColor rgb="FFFFFDE7"/>
        <bgColor rgb="FFFEFCE8"/>
      </patternFill>
    </fill>
    <fill>
      <patternFill patternType="solid">
        <fgColor rgb="FFD40000"/>
        <bgColor rgb="FF8B0000"/>
      </patternFill>
    </fill>
    <fill>
      <patternFill patternType="solid">
        <fgColor rgb="FFF4F6F8"/>
        <bgColor rgb="FFF5F5F5"/>
      </patternFill>
    </fill>
    <fill>
      <patternFill patternType="solid">
        <fgColor rgb="FF003F8A"/>
        <bgColor rgb="FF1E3A8A"/>
      </patternFill>
    </fill>
    <fill>
      <patternFill patternType="solid">
        <fgColor rgb="FF8B0000"/>
        <bgColor rgb="FF8B1A1A"/>
      </patternFill>
    </fill>
    <fill>
      <patternFill patternType="solid">
        <fgColor rgb="FF8B1A1A"/>
        <bgColor rgb="FF7C2D12"/>
      </patternFill>
    </fill>
    <fill>
      <patternFill patternType="solid">
        <fgColor rgb="FFFFF3CD"/>
        <bgColor rgb="FFFFEDD5"/>
      </patternFill>
    </fill>
    <fill>
      <patternFill patternType="solid">
        <fgColor rgb="FFF8FAFC"/>
        <bgColor rgb="FFF4F6F8"/>
      </patternFill>
    </fill>
    <fill>
      <patternFill patternType="solid">
        <fgColor rgb="FF1E3A8A"/>
        <bgColor rgb="FF1F4E79"/>
      </patternFill>
    </fill>
    <fill>
      <patternFill patternType="solid">
        <fgColor rgb="FFF1F5F9"/>
        <bgColor rgb="FFF4F6F8"/>
      </patternFill>
    </fill>
    <fill>
      <patternFill patternType="solid">
        <fgColor rgb="FFEFF6FF"/>
        <bgColor rgb="FFF0F7FF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14532D"/>
        <bgColor rgb="FF1A5276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4C1D95"/>
        <bgColor rgb="FF1E3A8A"/>
      </patternFill>
    </fill>
    <fill>
      <patternFill patternType="solid">
        <fgColor rgb="FFF5F3FF"/>
        <bgColor rgb="FFF4F6F8"/>
      </patternFill>
    </fill>
    <fill>
      <patternFill patternType="solid">
        <fgColor rgb="FFEDE9FE"/>
        <bgColor rgb="FFEEEEEE"/>
      </patternFill>
    </fill>
    <fill>
      <patternFill patternType="solid">
        <fgColor rgb="FF7C2D12"/>
        <bgColor rgb="FF713F12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FF3CD"/>
      </patternFill>
    </fill>
    <fill>
      <patternFill patternType="solid">
        <fgColor rgb="FF713F12"/>
        <bgColor rgb="FF7C2D12"/>
      </patternFill>
    </fill>
    <fill>
      <patternFill patternType="solid">
        <fgColor rgb="FFFEFCE8"/>
        <bgColor rgb="FFFFFDE7"/>
      </patternFill>
    </fill>
    <fill>
      <patternFill patternType="solid">
        <fgColor rgb="FFFEF9C3"/>
        <bgColor rgb="FFFFF3CD"/>
      </patternFill>
    </fill>
    <fill>
      <patternFill patternType="solid">
        <fgColor rgb="FFFFC000"/>
        <bgColor rgb="FFF97316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 style="medium">
        <color rgb="FFF5A623"/>
      </right>
      <top style="thin">
        <color rgb="FFCCCCCC"/>
      </top>
      <bottom style="thin">
        <color rgb="FFCCCCCC"/>
      </bottom>
      <diagonal/>
    </border>
    <border>
      <left style="medium">
        <color rgb="FF3B82F6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1E3A8A"/>
      </left>
      <right/>
      <top style="medium">
        <color rgb="FF1E3A8A"/>
      </top>
      <bottom style="medium">
        <color rgb="FF1E3A8A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medium">
        <color rgb="FF3B82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/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 style="medium">
        <color rgb="FF22C55E"/>
      </left>
      <right style="thin">
        <color rgb="FF14532D"/>
      </right>
      <top style="medium">
        <color rgb="FF14532D"/>
      </top>
      <bottom style="medium">
        <color rgb="FF14532D"/>
      </bottom>
      <diagonal/>
    </border>
    <border>
      <left style="thin">
        <color rgb="FF14532D"/>
      </left>
      <right/>
      <top style="medium">
        <color rgb="FF14532D"/>
      </top>
      <bottom style="medium">
        <color rgb="FF14532D"/>
      </bottom>
      <diagonal/>
    </border>
    <border>
      <left style="medium">
        <color rgb="FF22C55E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/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4C1D95"/>
      </right>
      <top style="medium">
        <color rgb="FF4C1D95"/>
      </top>
      <bottom style="medium">
        <color rgb="FF4C1D95"/>
      </bottom>
      <diagonal/>
    </border>
    <border>
      <left style="thin">
        <color rgb="FF4C1D95"/>
      </left>
      <right/>
      <top style="medium">
        <color rgb="FF4C1D95"/>
      </top>
      <bottom style="medium">
        <color rgb="FF4C1D95"/>
      </bottom>
      <diagonal/>
    </border>
    <border>
      <left style="medium">
        <color rgb="FF8B5C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/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 style="medium">
        <color rgb="FFF97316"/>
      </left>
      <right style="thin">
        <color rgb="FF7C2D12"/>
      </right>
      <top style="medium">
        <color rgb="FF7C2D12"/>
      </top>
      <bottom style="medium">
        <color rgb="FF7C2D12"/>
      </bottom>
      <diagonal/>
    </border>
    <border>
      <left style="thin">
        <color rgb="FF7C2D12"/>
      </left>
      <right/>
      <top style="medium">
        <color rgb="FF7C2D12"/>
      </top>
      <bottom style="medium">
        <color rgb="FF7C2D12"/>
      </bottom>
      <diagonal/>
    </border>
    <border>
      <left style="medium">
        <color rgb="FFF9731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/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 style="medium">
        <color rgb="FFEAB308"/>
      </left>
      <right style="thin">
        <color rgb="FF713F12"/>
      </right>
      <top style="medium">
        <color rgb="FF713F12"/>
      </top>
      <bottom style="medium">
        <color rgb="FF713F12"/>
      </bottom>
      <diagonal/>
    </border>
    <border>
      <left style="thin">
        <color rgb="FF713F12"/>
      </left>
      <right/>
      <top style="medium">
        <color rgb="FF713F12"/>
      </top>
      <bottom style="medium">
        <color rgb="FF713F12"/>
      </bottom>
      <diagonal/>
    </border>
    <border>
      <left style="medium">
        <color rgb="FFEAB308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EAB308"/>
      </right>
      <top style="thin">
        <color rgb="FFEEEEEE"/>
      </top>
      <bottom style="thin">
        <color rgb="FFEEEEEE"/>
      </bottom>
      <diagonal/>
    </border>
    <border>
      <left/>
      <right style="medium">
        <color rgb="FFEAB308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/>
    </xf>
    <xf numFmtId="0" fontId="14" fillId="19" borderId="3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164" fontId="18" fillId="21" borderId="6" xfId="0" applyNumberFormat="1" applyFont="1" applyFill="1" applyBorder="1" applyAlignment="1">
      <alignment horizontal="center" vertical="center"/>
    </xf>
    <xf numFmtId="0" fontId="19" fillId="21" borderId="7" xfId="0" applyFont="1" applyFill="1" applyBorder="1" applyAlignment="1">
      <alignment horizontal="left" vertical="center"/>
    </xf>
    <xf numFmtId="0" fontId="14" fillId="21" borderId="8" xfId="0" applyFont="1" applyFill="1" applyBorder="1" applyAlignment="1">
      <alignment horizontal="center" vertical="center"/>
    </xf>
    <xf numFmtId="164" fontId="18" fillId="22" borderId="6" xfId="0" applyNumberFormat="1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164" fontId="20" fillId="25" borderId="11" xfId="0" applyNumberFormat="1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20" fillId="26" borderId="11" xfId="0" applyNumberFormat="1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left" vertical="center"/>
    </xf>
    <xf numFmtId="0" fontId="14" fillId="26" borderId="13" xfId="0" applyFont="1" applyFill="1" applyBorder="1" applyAlignment="1">
      <alignment horizontal="center" vertical="center"/>
    </xf>
    <xf numFmtId="0" fontId="14" fillId="27" borderId="14" xfId="0" applyFont="1" applyFill="1" applyBorder="1" applyAlignment="1">
      <alignment horizontal="center" vertical="center"/>
    </xf>
    <xf numFmtId="164" fontId="21" fillId="28" borderId="16" xfId="0" applyNumberFormat="1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left" vertical="center"/>
    </xf>
    <xf numFmtId="0" fontId="14" fillId="28" borderId="18" xfId="0" applyFont="1" applyFill="1" applyBorder="1" applyAlignment="1">
      <alignment horizontal="center" vertical="center"/>
    </xf>
    <xf numFmtId="164" fontId="21" fillId="29" borderId="16" xfId="0" applyNumberFormat="1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left" vertical="center"/>
    </xf>
    <xf numFmtId="0" fontId="14" fillId="29" borderId="18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164" fontId="22" fillId="31" borderId="21" xfId="0" applyNumberFormat="1" applyFont="1" applyFill="1" applyBorder="1" applyAlignment="1">
      <alignment horizontal="center" vertical="center"/>
    </xf>
    <xf numFmtId="0" fontId="19" fillId="31" borderId="22" xfId="0" applyFont="1" applyFill="1" applyBorder="1" applyAlignment="1">
      <alignment horizontal="left" vertical="center"/>
    </xf>
    <xf numFmtId="0" fontId="14" fillId="31" borderId="23" xfId="0" applyFont="1" applyFill="1" applyBorder="1" applyAlignment="1">
      <alignment horizontal="center" vertical="center"/>
    </xf>
    <xf numFmtId="164" fontId="22" fillId="32" borderId="21" xfId="0" applyNumberFormat="1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left" vertical="center"/>
    </xf>
    <xf numFmtId="0" fontId="14" fillId="32" borderId="23" xfId="0" applyFont="1" applyFill="1" applyBorder="1" applyAlignment="1">
      <alignment horizontal="center" vertical="center"/>
    </xf>
    <xf numFmtId="0" fontId="14" fillId="33" borderId="24" xfId="0" applyFont="1" applyFill="1" applyBorder="1" applyAlignment="1">
      <alignment horizontal="center" vertical="center"/>
    </xf>
    <xf numFmtId="164" fontId="23" fillId="34" borderId="26" xfId="0" applyNumberFormat="1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left" vertical="center"/>
    </xf>
    <xf numFmtId="0" fontId="14" fillId="34" borderId="28" xfId="0" applyFont="1" applyFill="1" applyBorder="1" applyAlignment="1">
      <alignment horizontal="center" vertical="center"/>
    </xf>
    <xf numFmtId="164" fontId="23" fillId="35" borderId="26" xfId="0" applyNumberFormat="1" applyFont="1" applyFill="1" applyBorder="1" applyAlignment="1">
      <alignment horizontal="center" vertical="center"/>
    </xf>
    <xf numFmtId="0" fontId="19" fillId="35" borderId="27" xfId="0" applyFont="1" applyFill="1" applyBorder="1" applyAlignment="1">
      <alignment horizontal="left" vertical="center"/>
    </xf>
    <xf numFmtId="0" fontId="14" fillId="35" borderId="28" xfId="0" applyFont="1" applyFill="1" applyBorder="1" applyAlignment="1">
      <alignment horizontal="center" vertical="center"/>
    </xf>
    <xf numFmtId="0" fontId="4" fillId="27" borderId="15" xfId="0" applyFont="1" applyFill="1" applyBorder="1" applyAlignment="1">
      <alignment horizontal="left" vertical="center"/>
    </xf>
    <xf numFmtId="0" fontId="4" fillId="30" borderId="20" xfId="0" applyFont="1" applyFill="1" applyBorder="1" applyAlignment="1">
      <alignment horizontal="left" vertical="center"/>
    </xf>
    <xf numFmtId="0" fontId="4" fillId="33" borderId="2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40000"/>
      <rgbColor rgb="FFF4F6F8"/>
      <rgbColor rgb="FF0000FF"/>
      <rgbColor rgb="FFFFEDD5"/>
      <rgbColor rgb="FFFFF7ED"/>
      <rgbColor rgb="FFF0FDF4"/>
      <rgbColor rgb="FF8B0000"/>
      <rgbColor rgb="FF14532D"/>
      <rgbColor rgb="FF003F8A"/>
      <rgbColor rgb="FFF5F5F5"/>
      <rgbColor rgb="FFFEFCE8"/>
      <rgbColor rgb="FF1F4E79"/>
      <rgbColor rgb="FFCCCCCC"/>
      <rgbColor rgb="FFF1F5F9"/>
      <rgbColor rgb="FF8B5CF6"/>
      <rgbColor rgb="FF713F12"/>
      <rgbColor rgb="FFFEF9C3"/>
      <rgbColor rgb="FFDCFCE7"/>
      <rgbColor rgb="FF4C1D95"/>
      <rgbColor rgb="FFEEEEEE"/>
      <rgbColor rgb="FF1A5276"/>
      <rgbColor rgb="FFCBD5E1"/>
      <rgbColor rgb="FF000080"/>
      <rgbColor rgb="FFF8FAFC"/>
      <rgbColor rgb="FFFFFDE7"/>
      <rgbColor rgb="FFF0F7FF"/>
      <rgbColor rgb="FF800080"/>
      <rgbColor rgb="FF8B1A1A"/>
      <rgbColor rgb="FF334155"/>
      <rgbColor rgb="FF0000FF"/>
      <rgbColor rgb="FFF5F3FF"/>
      <rgbColor rgb="FFBBFAD5"/>
      <rgbColor rgb="FFD1FAE5"/>
      <rgbColor rgb="FFFFF3CD"/>
      <rgbColor rgb="FFDBEAFE"/>
      <rgbColor rgb="FFEDE9FE"/>
      <rgbColor rgb="FFE2E8F0"/>
      <rgbColor rgb="FFDDDDDD"/>
      <rgbColor rgb="FF3B82F6"/>
      <rgbColor rgb="FFEFF6FF"/>
      <rgbColor rgb="FFEBF5FB"/>
      <rgbColor rgb="FFEAB308"/>
      <rgbColor rgb="FFF5A623"/>
      <rgbColor rgb="FFF97316"/>
      <rgbColor rgb="FF64748B"/>
      <rgbColor rgb="FF94A3B8"/>
      <rgbColor rgb="FF0F3460"/>
      <rgbColor rgb="FF22C55E"/>
      <rgbColor rgb="FF16213E"/>
      <rgbColor rgb="FF1A1A2E"/>
      <rgbColor rgb="FF7C2D12"/>
      <rgbColor rgb="FFE94560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AF367"/>
  <sheetViews>
    <sheetView showGridLines="0" tabSelected="1" zoomScaleNormal="100" workbookViewId="0">
      <pane ySplit="4" topLeftCell="A5" activePane="bottomLeft" state="frozen"/>
      <selection pane="bottomLeft" activeCell="A3" sqref="A3:K3"/>
    </sheetView>
  </sheetViews>
  <sheetFormatPr defaultColWidth="8.6640625" defaultRowHeight="14.4" x14ac:dyDescent="0.3"/>
  <cols>
    <col min="1" max="1" width="3.33203125" customWidth="1"/>
    <col min="2" max="2" width="7.5546875" customWidth="1"/>
    <col min="3" max="3" width="16.88671875" customWidth="1"/>
    <col min="4" max="4" width="8.109375" customWidth="1"/>
    <col min="5" max="5" width="4.88671875" customWidth="1"/>
    <col min="6" max="6" width="8.5546875" customWidth="1"/>
    <col min="7" max="7" width="18.109375" customWidth="1"/>
    <col min="8" max="8" width="8" customWidth="1"/>
    <col min="9" max="9" width="23" customWidth="1"/>
    <col min="10" max="10" width="12" customWidth="1"/>
    <col min="11" max="11" width="6.88671875" customWidth="1"/>
    <col min="12" max="12" width="1.5546875" customWidth="1"/>
    <col min="13" max="13" width="23" customWidth="1"/>
    <col min="14" max="17" width="4" customWidth="1"/>
    <col min="18" max="21" width="5" customWidth="1"/>
    <col min="22" max="22" width="1" customWidth="1"/>
    <col min="23" max="32" width="18" hidden="1" customWidth="1"/>
  </cols>
  <sheetData>
    <row r="1" spans="1:32" ht="36" customHeight="1" x14ac:dyDescent="0.3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M1" s="66" t="s">
        <v>1</v>
      </c>
      <c r="N1" s="66"/>
      <c r="O1" s="66"/>
      <c r="P1" s="66"/>
      <c r="Q1" s="66"/>
      <c r="R1" s="66"/>
      <c r="S1" s="66"/>
      <c r="T1" s="66"/>
      <c r="U1" s="66"/>
    </row>
    <row r="2" spans="1:32" ht="24" customHeight="1" x14ac:dyDescent="0.3">
      <c r="A2" s="67" t="s">
        <v>2</v>
      </c>
      <c r="B2" s="67"/>
      <c r="C2" s="67"/>
      <c r="D2" s="68" t="s">
        <v>166</v>
      </c>
      <c r="E2" s="68"/>
      <c r="F2" s="68"/>
      <c r="G2" s="68"/>
      <c r="H2" s="68"/>
      <c r="I2" s="68"/>
      <c r="J2" s="68"/>
      <c r="K2" s="68"/>
      <c r="M2" s="69" t="s">
        <v>3</v>
      </c>
      <c r="N2" s="69"/>
      <c r="O2" s="69"/>
      <c r="P2" s="69"/>
      <c r="Q2" s="69"/>
      <c r="R2" s="69"/>
      <c r="S2" s="69"/>
      <c r="T2" s="69"/>
      <c r="U2" s="69"/>
    </row>
    <row r="3" spans="1:32" ht="18" customHeight="1" x14ac:dyDescent="0.3">
      <c r="A3" s="63" t="s">
        <v>4</v>
      </c>
      <c r="B3" s="63"/>
      <c r="C3" s="63"/>
      <c r="D3" s="63"/>
      <c r="E3" s="63"/>
      <c r="F3" s="63"/>
      <c r="G3" s="63"/>
      <c r="H3" s="63"/>
      <c r="I3" s="63"/>
      <c r="J3" s="63"/>
      <c r="K3" s="63"/>
      <c r="M3" s="64" t="s">
        <v>5</v>
      </c>
      <c r="N3" s="64"/>
      <c r="O3" s="64"/>
      <c r="P3" s="64"/>
      <c r="Q3" s="64"/>
      <c r="R3" s="64"/>
      <c r="S3" s="64"/>
      <c r="T3" s="64"/>
      <c r="U3" s="64"/>
    </row>
    <row r="4" spans="1:32" ht="4.5" customHeight="1" x14ac:dyDescent="0.3"/>
    <row r="5" spans="1:32" ht="18.75" customHeight="1" x14ac:dyDescent="0.3">
      <c r="A5" s="56" t="s">
        <v>6</v>
      </c>
      <c r="B5" s="56"/>
      <c r="C5" s="56"/>
      <c r="D5" s="56"/>
      <c r="E5" s="56"/>
      <c r="F5" s="56"/>
      <c r="G5" s="56"/>
      <c r="H5" s="56"/>
      <c r="I5" s="56"/>
      <c r="J5" s="56"/>
      <c r="K5" s="56"/>
      <c r="M5" s="57" t="s">
        <v>7</v>
      </c>
      <c r="N5" s="57"/>
      <c r="O5" s="57"/>
      <c r="P5" s="57"/>
      <c r="Q5" s="57"/>
      <c r="R5" s="57"/>
      <c r="S5" s="57"/>
      <c r="T5" s="57"/>
      <c r="U5" s="57"/>
    </row>
    <row r="6" spans="1:32" ht="15.75" customHeight="1" x14ac:dyDescent="0.3">
      <c r="A6" s="1" t="s">
        <v>8</v>
      </c>
      <c r="B6" s="1" t="s">
        <v>9</v>
      </c>
      <c r="C6" s="1" t="s">
        <v>10</v>
      </c>
      <c r="D6" s="1" t="s">
        <v>11</v>
      </c>
      <c r="E6" s="1"/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</row>
    <row r="7" spans="1:32" ht="16.5" customHeight="1" x14ac:dyDescent="0.3">
      <c r="A7" s="3">
        <v>1</v>
      </c>
      <c r="B7" s="3" t="s">
        <v>27</v>
      </c>
      <c r="C7" s="4" t="s">
        <v>28</v>
      </c>
      <c r="D7" s="5">
        <v>2</v>
      </c>
      <c r="E7" s="3" t="s">
        <v>29</v>
      </c>
      <c r="F7" s="5">
        <v>0</v>
      </c>
      <c r="G7" s="4" t="s">
        <v>30</v>
      </c>
      <c r="H7" s="3" t="s">
        <v>31</v>
      </c>
      <c r="I7" s="3" t="s">
        <v>32</v>
      </c>
      <c r="J7" s="4" t="s">
        <v>33</v>
      </c>
      <c r="K7" s="6" t="s">
        <v>34</v>
      </c>
      <c r="M7" s="4" t="str">
        <f>IF(AND(ISNUMBER(D7),ISNUMBER(D8),ISNUMBER(D9),ISNUMBER(D10),ISNUMBER(D11),ISNUMBER(D12)),IF(AF7=1,W7,IF(AF8=1,W8,IF(AF9=1,W9,IF(AF10=1,W10,"")))),"")</f>
        <v>Mexico</v>
      </c>
      <c r="N7" s="3">
        <f>IF(AND(ISNUMBER(D7),ISNUMBER(D8),ISNUMBER(D9),ISNUMBER(D10),ISNUMBER(D11),ISNUMBER(D12)),IF(AF7=1,X7,IF(AF8=1,X8,IF(AF9=1,X9,IF(AF10=1,X10,"")))),"")</f>
        <v>3</v>
      </c>
      <c r="O7" s="3">
        <f>IF(AND(ISNUMBER(D7),ISNUMBER(D8),ISNUMBER(D9),ISNUMBER(D10),ISNUMBER(D11),ISNUMBER(D12)),IF(AF7=1,Y7,IF(AF8=1,Y8,IF(AF9=1,Y9,IF(AF10=1,Y10,"")))),"")</f>
        <v>3</v>
      </c>
      <c r="P7" s="3">
        <f>IF(AND(ISNUMBER(D7),ISNUMBER(D8),ISNUMBER(D9),ISNUMBER(D10),ISNUMBER(D11),ISNUMBER(D12)),IF(AF7=1,Z7,IF(AF8=1,Z8,IF(AF9=1,Z9,IF(AF10=1,Z10,"")))),"")</f>
        <v>0</v>
      </c>
      <c r="Q7" s="3">
        <f>IF(AND(ISNUMBER(D7),ISNUMBER(D8),ISNUMBER(D9),ISNUMBER(D10),ISNUMBER(D11),ISNUMBER(D12)),IF(AF7=1,AA7,IF(AF8=1,AA8,IF(AF9=1,AA9,IF(AF10=1,AA10,"")))),"")</f>
        <v>0</v>
      </c>
      <c r="R7" s="3">
        <f>IF(AND(ISNUMBER(D7),ISNUMBER(D8),ISNUMBER(D9),ISNUMBER(D10),ISNUMBER(D11),ISNUMBER(D12)),IF(AF7=1,AB7,IF(AF8=1,AB8,IF(AF9=1,AB9,IF(AF10=1,AB10,"")))),"")</f>
        <v>6</v>
      </c>
      <c r="S7" s="3">
        <f>IF(AND(ISNUMBER(D7),ISNUMBER(D8),ISNUMBER(D9),ISNUMBER(D10),ISNUMBER(D11),ISNUMBER(D12)),IF(AF7=1,AC7,IF(AF8=1,AC8,IF(AF9=1,AC9,IF(AF10=1,AC10,"")))),"")</f>
        <v>0</v>
      </c>
      <c r="T7" s="3">
        <f>IF(AND(ISNUMBER(D7),ISNUMBER(D8),ISNUMBER(D9),ISNUMBER(D10),ISNUMBER(D11),ISNUMBER(D12)),IF(AF7=1,AD7,IF(AF8=1,AD8,IF(AF9=1,AD9,IF(AF10=1,AD10,"")))),"")</f>
        <v>6</v>
      </c>
      <c r="U7" s="3">
        <f>IF(AND(ISNUMBER(D7),ISNUMBER(D8),ISNUMBER(D9),ISNUMBER(D10),ISNUMBER(D11),ISNUMBER(D12)),IF(AF7=1,AE7,IF(AF8=1,AE8,IF(AF9=1,AE9,IF(AF10=1,AE10,"")))),"")</f>
        <v>9</v>
      </c>
      <c r="W7" t="s">
        <v>28</v>
      </c>
      <c r="X7">
        <f>((C7="Mexico")*ISNUMBER(D7))+((G7="Mexico")*ISNUMBER(D7))+((C8="Mexico")*ISNUMBER(D8))+((G8="Mexico")*ISNUMBER(D8))+((C9="Mexico")*ISNUMBER(D9))+((G9="Mexico")*ISNUMBER(D9))+((C10="Mexico")*ISNUMBER(D10))+((G10="Mexico")*ISNUMBER(D10))+((C11="Mexico")*ISNUMBER(D11))+((G11="Mexico")*ISNUMBER(D11))+((C12="Mexico")*ISNUMBER(D12))+((G12="Mexico")*ISNUMBER(D12))</f>
        <v>3</v>
      </c>
      <c r="Y7">
        <f>((C7="Mexico")*ISNUMBER(D7)*(D7&gt;F7))+((G7="Mexico")*ISNUMBER(D7)*(F7&gt;D7))+((C8="Mexico")*ISNUMBER(D8)*(D8&gt;F8))+((G8="Mexico")*ISNUMBER(D8)*(F8&gt;D8))+((C9="Mexico")*ISNUMBER(D9)*(D9&gt;F9))+((G9="Mexico")*ISNUMBER(D9)*(F9&gt;D9))+((C10="Mexico")*ISNUMBER(D10)*(D10&gt;F10))+((G10="Mexico")*ISNUMBER(D10)*(F10&gt;D10))+((C11="Mexico")*ISNUMBER(D11)*(D11&gt;F11))+((G11="Mexico")*ISNUMBER(D11)*(F11&gt;D11))+((C12="Mexico")*ISNUMBER(D12)*(D12&gt;F12))+((G12="Mexico")*ISNUMBER(D12)*(F12&gt;D12))</f>
        <v>3</v>
      </c>
      <c r="Z7">
        <f>((C7="Mexico")*ISNUMBER(D7)*(D7=F7))+((G7="Mexico")*ISNUMBER(D7)*(F7=D7))+((C8="Mexico")*ISNUMBER(D8)*(D8=F8))+((G8="Mexico")*ISNUMBER(D8)*(F8=D8))+((C9="Mexico")*ISNUMBER(D9)*(D9=F9))+((G9="Mexico")*ISNUMBER(D9)*(F9=D9))+((C10="Mexico")*ISNUMBER(D10)*(D10=F10))+((G10="Mexico")*ISNUMBER(D10)*(F10=D10))+((C11="Mexico")*ISNUMBER(D11)*(D11=F11))+((G11="Mexico")*ISNUMBER(D11)*(F11=D11))+((C12="Mexico")*ISNUMBER(D12)*(D12=F12))+((G12="Mexico")*ISNUMBER(D12)*(F12=D12))</f>
        <v>0</v>
      </c>
      <c r="AA7">
        <f>((C7="Mexico")*ISNUMBER(D7)*(D7&lt;F7))+((G7="Mexico")*ISNUMBER(D7)*(F7&lt;D7))+((C8="Mexico")*ISNUMBER(D8)*(D8&lt;F8))+((G8="Mexico")*ISNUMBER(D8)*(F8&lt;D8))+((C9="Mexico")*ISNUMBER(D9)*(D9&lt;F9))+((G9="Mexico")*ISNUMBER(D9)*(F9&lt;D9))+((C10="Mexico")*ISNUMBER(D10)*(D10&lt;F10))+((G10="Mexico")*ISNUMBER(D10)*(F10&lt;D10))+((C11="Mexico")*ISNUMBER(D11)*(D11&lt;F11))+((G11="Mexico")*ISNUMBER(D11)*(F11&lt;D11))+((C12="Mexico")*ISNUMBER(D12)*(D12&lt;F12))+((G12="Mexico")*ISNUMBER(D12)*(F12&lt;D12))</f>
        <v>0</v>
      </c>
      <c r="AB7">
        <f>IF((C7="Mexico")*ISNUMBER(D7),D7,0)+IF((G7="Mexico")*ISNUMBER(D7),F7,0)+IF((C8="Mexico")*ISNUMBER(D8),D8,0)+IF((G8="Mexico")*ISNUMBER(D8),F8,0)+IF((C9="Mexico")*ISNUMBER(D9),D9,0)+IF((G9="Mexico")*ISNUMBER(D9),F9,0)+IF((C10="Mexico")*ISNUMBER(D10),D10,0)+IF((G10="Mexico")*ISNUMBER(D10),F10,0)+IF((C11="Mexico")*ISNUMBER(D11),D11,0)+IF((G11="Mexico")*ISNUMBER(D11),F11,0)+IF((C12="Mexico")*ISNUMBER(D12),D12,0)+IF((G12="Mexico")*ISNUMBER(D12),F12,0)</f>
        <v>6</v>
      </c>
      <c r="AC7">
        <f>IF((C7="Mexico")*ISNUMBER(D7),F7,0)+IF((G7="Mexico")*ISNUMBER(D7),D7,0)+IF((C8="Mexico")*ISNUMBER(D8),F8,0)+IF((G8="Mexico")*ISNUMBER(D8),D8,0)+IF((C9="Mexico")*ISNUMBER(D9),F9,0)+IF((G9="Mexico")*ISNUMBER(D9),D9,0)+IF((C10="Mexico")*ISNUMBER(D10),F10,0)+IF((G10="Mexico")*ISNUMBER(D10),D10,0)+IF((C11="Mexico")*ISNUMBER(D11),F11,0)+IF((G11="Mexico")*ISNUMBER(D11),D11,0)+IF((C12="Mexico")*ISNUMBER(D12),F12,0)+IF((G12="Mexico")*ISNUMBER(D12),D12,0)</f>
        <v>0</v>
      </c>
      <c r="AD7">
        <f>AB7-AC7</f>
        <v>6</v>
      </c>
      <c r="AE7">
        <f>3*Y7+Z7</f>
        <v>9</v>
      </c>
      <c r="AF7">
        <f>1+((AE8&gt;AE7)+(AE8=AE7)*(AD8&gt;AD7)+(AE8=AE7)*(AD8=AD7)*(AB8&gt;AB7)&gt;0)*1+((AE9&gt;AE7)+(AE9=AE7)*(AD9&gt;AD7)+(AE9=AE7)*(AD9=AD7)*(AB9&gt;AB7)&gt;0)*1+((AE10&gt;AE7)+(AE10=AE7)*(AD10&gt;AD7)+(AE10=AE7)*(AD10=AD7)*(AB10&gt;AB7)&gt;0)*1</f>
        <v>1</v>
      </c>
    </row>
    <row r="8" spans="1:32" ht="16.5" customHeight="1" x14ac:dyDescent="0.3">
      <c r="A8" s="7">
        <v>2</v>
      </c>
      <c r="B8" s="7" t="s">
        <v>27</v>
      </c>
      <c r="C8" s="8" t="s">
        <v>35</v>
      </c>
      <c r="D8" s="5">
        <v>3</v>
      </c>
      <c r="E8" s="7" t="s">
        <v>29</v>
      </c>
      <c r="F8" s="5">
        <v>1</v>
      </c>
      <c r="G8" s="8" t="s">
        <v>36</v>
      </c>
      <c r="H8" s="7" t="s">
        <v>37</v>
      </c>
      <c r="I8" s="7" t="s">
        <v>38</v>
      </c>
      <c r="J8" s="8" t="s">
        <v>39</v>
      </c>
      <c r="K8" s="9" t="s">
        <v>40</v>
      </c>
      <c r="M8" s="4" t="str">
        <f>IF(AND(ISNUMBER(D7),ISNUMBER(D8),ISNUMBER(D9),ISNUMBER(D10),ISNUMBER(D11),ISNUMBER(D12)),IF(AF7=2,W7,IF(AF8=2,W8,IF(AF9=2,W9,IF(AF10=2,W10,"")))),"")</f>
        <v>Sør-Afrika</v>
      </c>
      <c r="N8" s="3">
        <f>IF(AND(ISNUMBER(D7),ISNUMBER(D8),ISNUMBER(D9),ISNUMBER(D10),ISNUMBER(D11),ISNUMBER(D12)),IF(AF7=2,X7,IF(AF8=2,X8,IF(AF9=2,X9,IF(AF10=2,X10,"")))),"")</f>
        <v>3</v>
      </c>
      <c r="O8" s="3">
        <f>IF(AND(ISNUMBER(D7),ISNUMBER(D8),ISNUMBER(D9),ISNUMBER(D10),ISNUMBER(D11),ISNUMBER(D12)),IF(AF7=2,Y7,IF(AF8=2,Y8,IF(AF9=2,Y9,IF(AF10=2,Y10,"")))),"")</f>
        <v>2</v>
      </c>
      <c r="P8" s="3">
        <f>IF(AND(ISNUMBER(D7),ISNUMBER(D8),ISNUMBER(D9),ISNUMBER(D10),ISNUMBER(D11),ISNUMBER(D12)),IF(AF7=2,Z7,IF(AF8=2,Z8,IF(AF9=2,Z9,IF(AF10=2,Z10,"")))),"")</f>
        <v>0</v>
      </c>
      <c r="Q8" s="3">
        <f>IF(AND(ISNUMBER(D7),ISNUMBER(D8),ISNUMBER(D9),ISNUMBER(D10),ISNUMBER(D11),ISNUMBER(D12)),IF(AF7=2,AA7,IF(AF8=2,AA8,IF(AF9=2,AA9,IF(AF10=2,AA10,"")))),"")</f>
        <v>1</v>
      </c>
      <c r="R8" s="3">
        <f>IF(AND(ISNUMBER(D7),ISNUMBER(D8),ISNUMBER(D9),ISNUMBER(D10),ISNUMBER(D11),ISNUMBER(D12)),IF(AF7=2,AB7,IF(AF8=2,AB8,IF(AF9=2,AB9,IF(AF10=2,AB10,"")))),"")</f>
        <v>4</v>
      </c>
      <c r="S8" s="3">
        <f>IF(AND(ISNUMBER(D7),ISNUMBER(D8),ISNUMBER(D9),ISNUMBER(D10),ISNUMBER(D11),ISNUMBER(D12)),IF(AF7=2,AC7,IF(AF8=2,AC8,IF(AF9=2,AC9,IF(AF10=2,AC10,"")))),"")</f>
        <v>3</v>
      </c>
      <c r="T8" s="3">
        <f>IF(AND(ISNUMBER(D7),ISNUMBER(D8),ISNUMBER(D9),ISNUMBER(D10),ISNUMBER(D11),ISNUMBER(D12)),IF(AF7=2,AD7,IF(AF8=2,AD8,IF(AF9=2,AD9,IF(AF10=2,AD10,"")))),"")</f>
        <v>1</v>
      </c>
      <c r="U8" s="3">
        <f>IF(AND(ISNUMBER(D7),ISNUMBER(D8),ISNUMBER(D9),ISNUMBER(D10),ISNUMBER(D11),ISNUMBER(D12)),IF(AF7=2,AE7,IF(AF8=2,AE8,IF(AF9=2,AE9,IF(AF10=2,AE10,"")))),"")</f>
        <v>6</v>
      </c>
      <c r="W8" t="s">
        <v>30</v>
      </c>
      <c r="X8">
        <f>((C7="Sør-Afrika")*ISNUMBER(D7))+((G7="Sør-Afrika")*ISNUMBER(D7))+((C8="Sør-Afrika")*ISNUMBER(D8))+((G8="Sør-Afrika")*ISNUMBER(D8))+((C9="Sør-Afrika")*ISNUMBER(D9))+((G9="Sør-Afrika")*ISNUMBER(D9))+((C10="Sør-Afrika")*ISNUMBER(D10))+((G10="Sør-Afrika")*ISNUMBER(D10))+((C11="Sør-Afrika")*ISNUMBER(D11))+((G11="Sør-Afrika")*ISNUMBER(D11))+((C12="Sør-Afrika")*ISNUMBER(D12))+((G12="Sør-Afrika")*ISNUMBER(D12))</f>
        <v>3</v>
      </c>
      <c r="Y8">
        <f>((C7="Sør-Afrika")*ISNUMBER(D7)*(D7&gt;F7))+((G7="Sør-Afrika")*ISNUMBER(D7)*(F7&gt;D7))+((C8="Sør-Afrika")*ISNUMBER(D8)*(D8&gt;F8))+((G8="Sør-Afrika")*ISNUMBER(D8)*(F8&gt;D8))+((C9="Sør-Afrika")*ISNUMBER(D9)*(D9&gt;F9))+((G9="Sør-Afrika")*ISNUMBER(D9)*(F9&gt;D9))+((C10="Sør-Afrika")*ISNUMBER(D10)*(D10&gt;F10))+((G10="Sør-Afrika")*ISNUMBER(D10)*(F10&gt;D10))+((C11="Sør-Afrika")*ISNUMBER(D11)*(D11&gt;F11))+((G11="Sør-Afrika")*ISNUMBER(D11)*(F11&gt;D11))+((C12="Sør-Afrika")*ISNUMBER(D12)*(D12&gt;F12))+((G12="Sør-Afrika")*ISNUMBER(D12)*(F12&gt;D12))</f>
        <v>2</v>
      </c>
      <c r="Z8">
        <f>((C7="Sør-Afrika")*ISNUMBER(D7)*(D7=F7))+((G7="Sør-Afrika")*ISNUMBER(D7)*(F7=D7))+((C8="Sør-Afrika")*ISNUMBER(D8)*(D8=F8))+((G8="Sør-Afrika")*ISNUMBER(D8)*(F8=D8))+((C9="Sør-Afrika")*ISNUMBER(D9)*(D9=F9))+((G9="Sør-Afrika")*ISNUMBER(D9)*(F9=D9))+((C10="Sør-Afrika")*ISNUMBER(D10)*(D10=F10))+((G10="Sør-Afrika")*ISNUMBER(D10)*(F10=D10))+((C11="Sør-Afrika")*ISNUMBER(D11)*(D11=F11))+((G11="Sør-Afrika")*ISNUMBER(D11)*(F11=D11))+((C12="Sør-Afrika")*ISNUMBER(D12)*(D12=F12))+((G12="Sør-Afrika")*ISNUMBER(D12)*(F12=D12))</f>
        <v>0</v>
      </c>
      <c r="AA8">
        <f>((C7="Sør-Afrika")*ISNUMBER(D7)*(D7&lt;F7))+((G7="Sør-Afrika")*ISNUMBER(D7)*(F7&lt;D7))+((C8="Sør-Afrika")*ISNUMBER(D8)*(D8&lt;F8))+((G8="Sør-Afrika")*ISNUMBER(D8)*(F8&lt;D8))+((C9="Sør-Afrika")*ISNUMBER(D9)*(D9&lt;F9))+((G9="Sør-Afrika")*ISNUMBER(D9)*(F9&lt;D9))+((C10="Sør-Afrika")*ISNUMBER(D10)*(D10&lt;F10))+((G10="Sør-Afrika")*ISNUMBER(D10)*(F10&lt;D10))+((C11="Sør-Afrika")*ISNUMBER(D11)*(D11&lt;F11))+((G11="Sør-Afrika")*ISNUMBER(D11)*(F11&lt;D11))+((C12="Sør-Afrika")*ISNUMBER(D12)*(D12&lt;F12))+((G12="Sør-Afrika")*ISNUMBER(D12)*(F12&lt;D12))</f>
        <v>1</v>
      </c>
      <c r="AB8">
        <f>IF((C7="Sør-Afrika")*ISNUMBER(D7),D7,0)+IF((G7="Sør-Afrika")*ISNUMBER(D7),F7,0)+IF((C8="Sør-Afrika")*ISNUMBER(D8),D8,0)+IF((G8="Sør-Afrika")*ISNUMBER(D8),F8,0)+IF((C9="Sør-Afrika")*ISNUMBER(D9),D9,0)+IF((G9="Sør-Afrika")*ISNUMBER(D9),F9,0)+IF((C10="Sør-Afrika")*ISNUMBER(D10),D10,0)+IF((G10="Sør-Afrika")*ISNUMBER(D10),F10,0)+IF((C11="Sør-Afrika")*ISNUMBER(D11),D11,0)+IF((G11="Sør-Afrika")*ISNUMBER(D11),F11,0)+IF((C12="Sør-Afrika")*ISNUMBER(D12),D12,0)+IF((G12="Sør-Afrika")*ISNUMBER(D12),F12,0)</f>
        <v>4</v>
      </c>
      <c r="AC8">
        <f>IF((C7="Sør-Afrika")*ISNUMBER(D7),F7,0)+IF((G7="Sør-Afrika")*ISNUMBER(D7),D7,0)+IF((C8="Sør-Afrika")*ISNUMBER(D8),F8,0)+IF((G8="Sør-Afrika")*ISNUMBER(D8),D8,0)+IF((C9="Sør-Afrika")*ISNUMBER(D9),F9,0)+IF((G9="Sør-Afrika")*ISNUMBER(D9),D9,0)+IF((C10="Sør-Afrika")*ISNUMBER(D10),F10,0)+IF((G10="Sør-Afrika")*ISNUMBER(D10),D10,0)+IF((C11="Sør-Afrika")*ISNUMBER(D11),F11,0)+IF((G11="Sør-Afrika")*ISNUMBER(D11),D11,0)+IF((C12="Sør-Afrika")*ISNUMBER(D12),F12,0)+IF((G12="Sør-Afrika")*ISNUMBER(D12),D12,0)</f>
        <v>3</v>
      </c>
      <c r="AD8">
        <f>AB8-AC8</f>
        <v>1</v>
      </c>
      <c r="AE8">
        <f>3*Y8+Z8</f>
        <v>6</v>
      </c>
      <c r="AF8">
        <f>1+((AE7&gt;AE8)+(AE7=AE8)*(AD7&gt;AD8)+(AE7=AE8)*(AD7=AD8)*(AB7&gt;AB8)&gt;0)*1+((AE9&gt;AE8)+(AE9=AE8)*(AD9&gt;AD8)+(AE9=AE8)*(AD9=AD8)*(AB9&gt;AB8)&gt;0)*1+((AE10&gt;AE8)+(AE10=AE8)*(AD10&gt;AD8)+(AE10=AE8)*(AD10=AD8)*(AB10&gt;AB8)&gt;0)*1</f>
        <v>2</v>
      </c>
    </row>
    <row r="9" spans="1:32" ht="16.5" customHeight="1" x14ac:dyDescent="0.3">
      <c r="A9" s="3">
        <v>3</v>
      </c>
      <c r="B9" s="3" t="s">
        <v>27</v>
      </c>
      <c r="C9" s="4" t="s">
        <v>36</v>
      </c>
      <c r="D9" s="5">
        <v>0</v>
      </c>
      <c r="E9" s="3" t="s">
        <v>29</v>
      </c>
      <c r="F9" s="5">
        <v>2</v>
      </c>
      <c r="G9" s="4" t="s">
        <v>30</v>
      </c>
      <c r="H9" s="3" t="s">
        <v>41</v>
      </c>
      <c r="I9" s="3" t="s">
        <v>42</v>
      </c>
      <c r="J9" s="4" t="s">
        <v>43</v>
      </c>
      <c r="K9" s="9" t="s">
        <v>40</v>
      </c>
      <c r="M9" s="4" t="str">
        <f>IF(AND(ISNUMBER(D7),ISNUMBER(D8),ISNUMBER(D9),ISNUMBER(D10),ISNUMBER(D11),ISNUMBER(D12)),IF(AF7=3,W7,IF(AF8=3,W8,IF(AF9=3,W9,IF(AF10=3,W10,"")))),"")</f>
        <v>Sør-Korea</v>
      </c>
      <c r="N9" s="3">
        <f>IF(AND(ISNUMBER(D7),ISNUMBER(D8),ISNUMBER(D9),ISNUMBER(D10),ISNUMBER(D11),ISNUMBER(D12)),IF(AF7=3,X7,IF(AF8=3,X8,IF(AF9=3,X9,IF(AF10=3,X10,"")))),"")</f>
        <v>3</v>
      </c>
      <c r="O9" s="3">
        <f>IF(AND(ISNUMBER(D7),ISNUMBER(D8),ISNUMBER(D9),ISNUMBER(D10),ISNUMBER(D11),ISNUMBER(D12)),IF(AF7=3,Y7,IF(AF8=3,Y8,IF(AF9=3,Y9,IF(AF10=3,Y10,"")))),"")</f>
        <v>1</v>
      </c>
      <c r="P9" s="3">
        <f>IF(AND(ISNUMBER(D7),ISNUMBER(D8),ISNUMBER(D9),ISNUMBER(D10),ISNUMBER(D11),ISNUMBER(D12)),IF(AF7=3,Z7,IF(AF8=3,Z8,IF(AF9=3,Z9,IF(AF10=3,Z10,"")))),"")</f>
        <v>0</v>
      </c>
      <c r="Q9" s="3">
        <f>IF(AND(ISNUMBER(D7),ISNUMBER(D8),ISNUMBER(D9),ISNUMBER(D10),ISNUMBER(D11),ISNUMBER(D12)),IF(AF7=3,AA7,IF(AF8=3,AA8,IF(AF9=3,AA9,IF(AF10=3,AA10,"")))),"")</f>
        <v>2</v>
      </c>
      <c r="R9" s="3">
        <f>IF(AND(ISNUMBER(D7),ISNUMBER(D8),ISNUMBER(D9),ISNUMBER(D10),ISNUMBER(D11),ISNUMBER(D12)),IF(AF7=3,AB7,IF(AF8=3,AB8,IF(AF9=3,AB9,IF(AF10=3,AB10,"")))),"")</f>
        <v>4</v>
      </c>
      <c r="S9" s="3">
        <f>IF(AND(ISNUMBER(D7),ISNUMBER(D8),ISNUMBER(D9),ISNUMBER(D10),ISNUMBER(D11),ISNUMBER(D12)),IF(AF7=3,AC7,IF(AF8=3,AC8,IF(AF9=3,AC9,IF(AF10=3,AC10,"")))),"")</f>
        <v>6</v>
      </c>
      <c r="T9" s="3">
        <f>IF(AND(ISNUMBER(D7),ISNUMBER(D8),ISNUMBER(D9),ISNUMBER(D10),ISNUMBER(D11),ISNUMBER(D12)),IF(AF7=3,AD7,IF(AF8=3,AD8,IF(AF9=3,AD9,IF(AF10=3,AD10,"")))),"")</f>
        <v>-2</v>
      </c>
      <c r="U9" s="3">
        <f>IF(AND(ISNUMBER(D7),ISNUMBER(D8),ISNUMBER(D9),ISNUMBER(D10),ISNUMBER(D11),ISNUMBER(D12)),IF(AF7=3,AE7,IF(AF8=3,AE8,IF(AF9=3,AE9,IF(AF10=3,AE10,"")))),"")</f>
        <v>3</v>
      </c>
      <c r="W9" t="s">
        <v>35</v>
      </c>
      <c r="X9">
        <f>((C7="Sør-Korea")*ISNUMBER(D7))+((G7="Sør-Korea")*ISNUMBER(D7))+((C8="Sør-Korea")*ISNUMBER(D8))+((G8="Sør-Korea")*ISNUMBER(D8))+((C9="Sør-Korea")*ISNUMBER(D9))+((G9="Sør-Korea")*ISNUMBER(D9))+((C10="Sør-Korea")*ISNUMBER(D10))+((G10="Sør-Korea")*ISNUMBER(D10))+((C11="Sør-Korea")*ISNUMBER(D11))+((G11="Sør-Korea")*ISNUMBER(D11))+((C12="Sør-Korea")*ISNUMBER(D12))+((G12="Sør-Korea")*ISNUMBER(D12))</f>
        <v>3</v>
      </c>
      <c r="Y9">
        <f>((C7="Sør-Korea")*ISNUMBER(D7)*(D7&gt;F7))+((G7="Sør-Korea")*ISNUMBER(D7)*(F7&gt;D7))+((C8="Sør-Korea")*ISNUMBER(D8)*(D8&gt;F8))+((G8="Sør-Korea")*ISNUMBER(D8)*(F8&gt;D8))+((C9="Sør-Korea")*ISNUMBER(D9)*(D9&gt;F9))+((G9="Sør-Korea")*ISNUMBER(D9)*(F9&gt;D9))+((C10="Sør-Korea")*ISNUMBER(D10)*(D10&gt;F10))+((G10="Sør-Korea")*ISNUMBER(D10)*(F10&gt;D10))+((C11="Sør-Korea")*ISNUMBER(D11)*(D11&gt;F11))+((G11="Sør-Korea")*ISNUMBER(D11)*(F11&gt;D11))+((C12="Sør-Korea")*ISNUMBER(D12)*(D12&gt;F12))+((G12="Sør-Korea")*ISNUMBER(D12)*(F12&gt;D12))</f>
        <v>1</v>
      </c>
      <c r="Z9">
        <f>((C7="Sør-Korea")*ISNUMBER(D7)*(D7=F7))+((G7="Sør-Korea")*ISNUMBER(D7)*(F7=D7))+((C8="Sør-Korea")*ISNUMBER(D8)*(D8=F8))+((G8="Sør-Korea")*ISNUMBER(D8)*(F8=D8))+((C9="Sør-Korea")*ISNUMBER(D9)*(D9=F9))+((G9="Sør-Korea")*ISNUMBER(D9)*(F9=D9))+((C10="Sør-Korea")*ISNUMBER(D10)*(D10=F10))+((G10="Sør-Korea")*ISNUMBER(D10)*(F10=D10))+((C11="Sør-Korea")*ISNUMBER(D11)*(D11=F11))+((G11="Sør-Korea")*ISNUMBER(D11)*(F11=D11))+((C12="Sør-Korea")*ISNUMBER(D12)*(D12=F12))+((G12="Sør-Korea")*ISNUMBER(D12)*(F12=D12))</f>
        <v>0</v>
      </c>
      <c r="AA9">
        <f>((C7="Sør-Korea")*ISNUMBER(D7)*(D7&lt;F7))+((G7="Sør-Korea")*ISNUMBER(D7)*(F7&lt;D7))+((C8="Sør-Korea")*ISNUMBER(D8)*(D8&lt;F8))+((G8="Sør-Korea")*ISNUMBER(D8)*(F8&lt;D8))+((C9="Sør-Korea")*ISNUMBER(D9)*(D9&lt;F9))+((G9="Sør-Korea")*ISNUMBER(D9)*(F9&lt;D9))+((C10="Sør-Korea")*ISNUMBER(D10)*(D10&lt;F10))+((G10="Sør-Korea")*ISNUMBER(D10)*(F10&lt;D10))+((C11="Sør-Korea")*ISNUMBER(D11)*(D11&lt;F11))+((G11="Sør-Korea")*ISNUMBER(D11)*(F11&lt;D11))+((C12="Sør-Korea")*ISNUMBER(D12)*(D12&lt;F12))+((G12="Sør-Korea")*ISNUMBER(D12)*(F12&lt;D12))</f>
        <v>2</v>
      </c>
      <c r="AB9">
        <f>IF((C7="Sør-Korea")*ISNUMBER(D7),D7,0)+IF((G7="Sør-Korea")*ISNUMBER(D7),F7,0)+IF((C8="Sør-Korea")*ISNUMBER(D8),D8,0)+IF((G8="Sør-Korea")*ISNUMBER(D8),F8,0)+IF((C9="Sør-Korea")*ISNUMBER(D9),D9,0)+IF((G9="Sør-Korea")*ISNUMBER(D9),F9,0)+IF((C10="Sør-Korea")*ISNUMBER(D10),D10,0)+IF((G10="Sør-Korea")*ISNUMBER(D10),F10,0)+IF((C11="Sør-Korea")*ISNUMBER(D11),D11,0)+IF((G11="Sør-Korea")*ISNUMBER(D11),F11,0)+IF((C12="Sør-Korea")*ISNUMBER(D12),D12,0)+IF((G12="Sør-Korea")*ISNUMBER(D12),F12,0)</f>
        <v>4</v>
      </c>
      <c r="AC9">
        <f>IF((C7="Sør-Korea")*ISNUMBER(D7),F7,0)+IF((G7="Sør-Korea")*ISNUMBER(D7),D7,0)+IF((C8="Sør-Korea")*ISNUMBER(D8),F8,0)+IF((G8="Sør-Korea")*ISNUMBER(D8),D8,0)+IF((C9="Sør-Korea")*ISNUMBER(D9),F9,0)+IF((G9="Sør-Korea")*ISNUMBER(D9),D9,0)+IF((C10="Sør-Korea")*ISNUMBER(D10),F10,0)+IF((G10="Sør-Korea")*ISNUMBER(D10),D10,0)+IF((C11="Sør-Korea")*ISNUMBER(D11),F11,0)+IF((G11="Sør-Korea")*ISNUMBER(D11),D11,0)+IF((C12="Sør-Korea")*ISNUMBER(D12),F12,0)+IF((G12="Sør-Korea")*ISNUMBER(D12),D12,0)</f>
        <v>6</v>
      </c>
      <c r="AD9">
        <f>AB9-AC9</f>
        <v>-2</v>
      </c>
      <c r="AE9">
        <f>3*Y9+Z9</f>
        <v>3</v>
      </c>
      <c r="AF9">
        <f>1+((AE7&gt;AE9)+(AE7=AE9)*(AD7&gt;AD9)+(AE7=AE9)*(AD7=AD9)*(AB7&gt;AB9)&gt;0)*1+((AE8&gt;AE9)+(AE8=AE9)*(AD8&gt;AD9)+(AE8=AE9)*(AD8=AD9)*(AB8&gt;AB9)&gt;0)*1+((AE10&gt;AE9)+(AE10=AE9)*(AD10&gt;AD9)+(AE10=AE9)*(AD10=AD9)*(AB10&gt;AB9)&gt;0)*1</f>
        <v>3</v>
      </c>
    </row>
    <row r="10" spans="1:32" ht="16.5" customHeight="1" x14ac:dyDescent="0.3">
      <c r="A10" s="7">
        <v>4</v>
      </c>
      <c r="B10" s="7" t="s">
        <v>27</v>
      </c>
      <c r="C10" s="8" t="s">
        <v>28</v>
      </c>
      <c r="D10" s="5">
        <v>3</v>
      </c>
      <c r="E10" s="7" t="s">
        <v>29</v>
      </c>
      <c r="F10" s="5">
        <v>0</v>
      </c>
      <c r="G10" s="8" t="s">
        <v>35</v>
      </c>
      <c r="H10" s="7" t="s">
        <v>44</v>
      </c>
      <c r="I10" s="7" t="s">
        <v>45</v>
      </c>
      <c r="J10" s="8" t="s">
        <v>39</v>
      </c>
      <c r="K10" s="6" t="s">
        <v>34</v>
      </c>
      <c r="M10" s="4" t="str">
        <f>IF(AND(ISNUMBER(D7),ISNUMBER(D8),ISNUMBER(D9),ISNUMBER(D10),ISNUMBER(D11),ISNUMBER(D12)),IF(AF7=4,W7,IF(AF8=4,W8,IF(AF9=4,W9,IF(AF10=4,W10,"")))),"")</f>
        <v>Tsjekkia</v>
      </c>
      <c r="N10" s="3">
        <f>IF(AND(ISNUMBER(D7),ISNUMBER(D8),ISNUMBER(D9),ISNUMBER(D10),ISNUMBER(D11),ISNUMBER(D12)),IF(AF7=4,X7,IF(AF8=4,X8,IF(AF9=4,X9,IF(AF10=4,X10,"")))),"")</f>
        <v>3</v>
      </c>
      <c r="O10" s="3">
        <f>IF(AND(ISNUMBER(D7),ISNUMBER(D8),ISNUMBER(D9),ISNUMBER(D10),ISNUMBER(D11),ISNUMBER(D12)),IF(AF7=4,Y7,IF(AF8=4,Y8,IF(AF9=4,Y9,IF(AF10=4,Y10,"")))),"")</f>
        <v>0</v>
      </c>
      <c r="P10" s="3">
        <f>IF(AND(ISNUMBER(D7),ISNUMBER(D8),ISNUMBER(D9),ISNUMBER(D10),ISNUMBER(D11),ISNUMBER(D12)),IF(AF7=4,Z7,IF(AF8=4,Z8,IF(AF9=4,Z9,IF(AF10=4,Z10,"")))),"")</f>
        <v>0</v>
      </c>
      <c r="Q10" s="3">
        <f>IF(AND(ISNUMBER(D7),ISNUMBER(D8),ISNUMBER(D9),ISNUMBER(D10),ISNUMBER(D11),ISNUMBER(D12)),IF(AF7=4,AA7,IF(AF8=4,AA8,IF(AF9=4,AA9,IF(AF10=4,AA10,"")))),"")</f>
        <v>3</v>
      </c>
      <c r="R10" s="3">
        <f>IF(AND(ISNUMBER(D7),ISNUMBER(D8),ISNUMBER(D9),ISNUMBER(D10),ISNUMBER(D11),ISNUMBER(D12)),IF(AF7=4,AB7,IF(AF8=4,AB8,IF(AF9=4,AB9,IF(AF10=4,AB10,"")))),"")</f>
        <v>1</v>
      </c>
      <c r="S10" s="3">
        <f>IF(AND(ISNUMBER(D7),ISNUMBER(D8),ISNUMBER(D9),ISNUMBER(D10),ISNUMBER(D11),ISNUMBER(D12)),IF(AF7=4,AC7,IF(AF8=4,AC8,IF(AF9=4,AC9,IF(AF10=4,AC10,"")))),"")</f>
        <v>6</v>
      </c>
      <c r="T10" s="3">
        <f>IF(AND(ISNUMBER(D7),ISNUMBER(D8),ISNUMBER(D9),ISNUMBER(D10),ISNUMBER(D11),ISNUMBER(D12)),IF(AF7=4,AD7,IF(AF8=4,AD8,IF(AF9=4,AD9,IF(AF10=4,AD10,"")))),"")</f>
        <v>-5</v>
      </c>
      <c r="U10" s="3">
        <f>IF(AND(ISNUMBER(D7),ISNUMBER(D8),ISNUMBER(D9),ISNUMBER(D10),ISNUMBER(D11),ISNUMBER(D12)),IF(AF7=4,AE7,IF(AF8=4,AE8,IF(AF9=4,AE9,IF(AF10=4,AE10,"")))),"")</f>
        <v>0</v>
      </c>
      <c r="W10" t="s">
        <v>36</v>
      </c>
      <c r="X10">
        <f>((C7="Tsjekkia")*ISNUMBER(D7))+((G7="Tsjekkia")*ISNUMBER(D7))+((C8="Tsjekkia")*ISNUMBER(D8))+((G8="Tsjekkia")*ISNUMBER(D8))+((C9="Tsjekkia")*ISNUMBER(D9))+((G9="Tsjekkia")*ISNUMBER(D9))+((C10="Tsjekkia")*ISNUMBER(D10))+((G10="Tsjekkia")*ISNUMBER(D10))+((C11="Tsjekkia")*ISNUMBER(D11))+((G11="Tsjekkia")*ISNUMBER(D11))+((C12="Tsjekkia")*ISNUMBER(D12))+((G12="Tsjekkia")*ISNUMBER(D12))</f>
        <v>3</v>
      </c>
      <c r="Y10">
        <f>((C7="Tsjekkia")*ISNUMBER(D7)*(D7&gt;F7))+((G7="Tsjekkia")*ISNUMBER(D7)*(F7&gt;D7))+((C8="Tsjekkia")*ISNUMBER(D8)*(D8&gt;F8))+((G8="Tsjekkia")*ISNUMBER(D8)*(F8&gt;D8))+((C9="Tsjekkia")*ISNUMBER(D9)*(D9&gt;F9))+((G9="Tsjekkia")*ISNUMBER(D9)*(F9&gt;D9))+((C10="Tsjekkia")*ISNUMBER(D10)*(D10&gt;F10))+((G10="Tsjekkia")*ISNUMBER(D10)*(F10&gt;D10))+((C11="Tsjekkia")*ISNUMBER(D11)*(D11&gt;F11))+((G11="Tsjekkia")*ISNUMBER(D11)*(F11&gt;D11))+((C12="Tsjekkia")*ISNUMBER(D12)*(D12&gt;F12))+((G12="Tsjekkia")*ISNUMBER(D12)*(F12&gt;D12))</f>
        <v>0</v>
      </c>
      <c r="Z10">
        <f>((C7="Tsjekkia")*ISNUMBER(D7)*(D7=F7))+((G7="Tsjekkia")*ISNUMBER(D7)*(F7=D7))+((C8="Tsjekkia")*ISNUMBER(D8)*(D8=F8))+((G8="Tsjekkia")*ISNUMBER(D8)*(F8=D8))+((C9="Tsjekkia")*ISNUMBER(D9)*(D9=F9))+((G9="Tsjekkia")*ISNUMBER(D9)*(F9=D9))+((C10="Tsjekkia")*ISNUMBER(D10)*(D10=F10))+((G10="Tsjekkia")*ISNUMBER(D10)*(F10=D10))+((C11="Tsjekkia")*ISNUMBER(D11)*(D11=F11))+((G11="Tsjekkia")*ISNUMBER(D11)*(F11=D11))+((C12="Tsjekkia")*ISNUMBER(D12)*(D12=F12))+((G12="Tsjekkia")*ISNUMBER(D12)*(F12=D12))</f>
        <v>0</v>
      </c>
      <c r="AA10">
        <f>((C7="Tsjekkia")*ISNUMBER(D7)*(D7&lt;F7))+((G7="Tsjekkia")*ISNUMBER(D7)*(F7&lt;D7))+((C8="Tsjekkia")*ISNUMBER(D8)*(D8&lt;F8))+((G8="Tsjekkia")*ISNUMBER(D8)*(F8&lt;D8))+((C9="Tsjekkia")*ISNUMBER(D9)*(D9&lt;F9))+((G9="Tsjekkia")*ISNUMBER(D9)*(F9&lt;D9))+((C10="Tsjekkia")*ISNUMBER(D10)*(D10&lt;F10))+((G10="Tsjekkia")*ISNUMBER(D10)*(F10&lt;D10))+((C11="Tsjekkia")*ISNUMBER(D11)*(D11&lt;F11))+((G11="Tsjekkia")*ISNUMBER(D11)*(F11&lt;D11))+((C12="Tsjekkia")*ISNUMBER(D12)*(D12&lt;F12))+((G12="Tsjekkia")*ISNUMBER(D12)*(F12&lt;D12))</f>
        <v>3</v>
      </c>
      <c r="AB10">
        <f>IF((C7="Tsjekkia")*ISNUMBER(D7),D7,0)+IF((G7="Tsjekkia")*ISNUMBER(D7),F7,0)+IF((C8="Tsjekkia")*ISNUMBER(D8),D8,0)+IF((G8="Tsjekkia")*ISNUMBER(D8),F8,0)+IF((C9="Tsjekkia")*ISNUMBER(D9),D9,0)+IF((G9="Tsjekkia")*ISNUMBER(D9),F9,0)+IF((C10="Tsjekkia")*ISNUMBER(D10),D10,0)+IF((G10="Tsjekkia")*ISNUMBER(D10),F10,0)+IF((C11="Tsjekkia")*ISNUMBER(D11),D11,0)+IF((G11="Tsjekkia")*ISNUMBER(D11),F11,0)+IF((C12="Tsjekkia")*ISNUMBER(D12),D12,0)+IF((G12="Tsjekkia")*ISNUMBER(D12),F12,0)</f>
        <v>1</v>
      </c>
      <c r="AC10">
        <f>IF((C7="Tsjekkia")*ISNUMBER(D7),F7,0)+IF((G7="Tsjekkia")*ISNUMBER(D7),D7,0)+IF((C8="Tsjekkia")*ISNUMBER(D8),F8,0)+IF((G8="Tsjekkia")*ISNUMBER(D8),D8,0)+IF((C9="Tsjekkia")*ISNUMBER(D9),F9,0)+IF((G9="Tsjekkia")*ISNUMBER(D9),D9,0)+IF((C10="Tsjekkia")*ISNUMBER(D10),F10,0)+IF((G10="Tsjekkia")*ISNUMBER(D10),D10,0)+IF((C11="Tsjekkia")*ISNUMBER(D11),F11,0)+IF((G11="Tsjekkia")*ISNUMBER(D11),D11,0)+IF((C12="Tsjekkia")*ISNUMBER(D12),F12,0)+IF((G12="Tsjekkia")*ISNUMBER(D12),D12,0)</f>
        <v>6</v>
      </c>
      <c r="AD10">
        <f>AB10-AC10</f>
        <v>-5</v>
      </c>
      <c r="AE10">
        <f>3*Y10+Z10</f>
        <v>0</v>
      </c>
      <c r="AF10">
        <f>1+((AE7&gt;AE10)+(AE7=AE10)*(AD7&gt;AD10)+(AE7=AE10)*(AD7=AD10)*(AB7&gt;AB10)&gt;0)*1+((AE8&gt;AE10)+(AE8=AE10)*(AD8&gt;AD10)+(AE8=AE10)*(AD8=AD10)*(AB8&gt;AB10)&gt;0)*1+((AE9&gt;AE10)+(AE9=AE10)*(AD9&gt;AD10)+(AE9=AE10)*(AD9=AD10)*(AB9&gt;AB10)&gt;0)*1</f>
        <v>4</v>
      </c>
    </row>
    <row r="11" spans="1:32" ht="16.5" customHeight="1" x14ac:dyDescent="0.3">
      <c r="A11" s="3">
        <v>5</v>
      </c>
      <c r="B11" s="3" t="s">
        <v>27</v>
      </c>
      <c r="C11" s="4" t="s">
        <v>28</v>
      </c>
      <c r="D11" s="5">
        <v>1</v>
      </c>
      <c r="E11" s="3" t="s">
        <v>29</v>
      </c>
      <c r="F11" s="5">
        <v>0</v>
      </c>
      <c r="G11" s="4" t="s">
        <v>36</v>
      </c>
      <c r="H11" s="3" t="s">
        <v>46</v>
      </c>
      <c r="I11" s="3" t="s">
        <v>45</v>
      </c>
      <c r="J11" s="4" t="s">
        <v>33</v>
      </c>
      <c r="K11" s="6" t="s">
        <v>34</v>
      </c>
    </row>
    <row r="12" spans="1:32" ht="16.5" customHeight="1" x14ac:dyDescent="0.3">
      <c r="A12" s="7">
        <v>6</v>
      </c>
      <c r="B12" s="7" t="s">
        <v>27</v>
      </c>
      <c r="C12" s="8" t="s">
        <v>30</v>
      </c>
      <c r="D12" s="5">
        <v>2</v>
      </c>
      <c r="E12" s="7" t="s">
        <v>29</v>
      </c>
      <c r="F12" s="5">
        <v>1</v>
      </c>
      <c r="G12" s="8" t="s">
        <v>35</v>
      </c>
      <c r="H12" s="7" t="s">
        <v>46</v>
      </c>
      <c r="I12" s="7" t="s">
        <v>45</v>
      </c>
      <c r="J12" s="8" t="s">
        <v>47</v>
      </c>
      <c r="K12" s="6" t="s">
        <v>34</v>
      </c>
    </row>
    <row r="13" spans="1:32" ht="18.75" customHeight="1" x14ac:dyDescent="0.3">
      <c r="A13" s="56" t="s">
        <v>48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M13" s="57" t="s">
        <v>49</v>
      </c>
      <c r="N13" s="57"/>
      <c r="O13" s="57"/>
      <c r="P13" s="57"/>
      <c r="Q13" s="57"/>
      <c r="R13" s="57"/>
      <c r="S13" s="57"/>
      <c r="T13" s="57"/>
      <c r="U13" s="57"/>
    </row>
    <row r="14" spans="1:32" ht="15.75" customHeight="1" x14ac:dyDescent="0.3">
      <c r="A14" s="1" t="s">
        <v>8</v>
      </c>
      <c r="B14" s="1" t="s">
        <v>9</v>
      </c>
      <c r="C14" s="1" t="s">
        <v>10</v>
      </c>
      <c r="D14" s="1" t="s">
        <v>11</v>
      </c>
      <c r="E14" s="1"/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M14" s="2" t="s">
        <v>18</v>
      </c>
      <c r="N14" s="2" t="s">
        <v>19</v>
      </c>
      <c r="O14" s="2" t="s">
        <v>20</v>
      </c>
      <c r="P14" s="2" t="s">
        <v>21</v>
      </c>
      <c r="Q14" s="2" t="s">
        <v>22</v>
      </c>
      <c r="R14" s="2" t="s">
        <v>23</v>
      </c>
      <c r="S14" s="2" t="s">
        <v>24</v>
      </c>
      <c r="T14" s="2" t="s">
        <v>25</v>
      </c>
      <c r="U14" s="2" t="s">
        <v>26</v>
      </c>
    </row>
    <row r="15" spans="1:32" ht="16.5" customHeight="1" x14ac:dyDescent="0.3">
      <c r="A15" s="3">
        <v>7</v>
      </c>
      <c r="B15" s="3" t="s">
        <v>50</v>
      </c>
      <c r="C15" s="4" t="s">
        <v>51</v>
      </c>
      <c r="D15" s="5">
        <v>2</v>
      </c>
      <c r="E15" s="3" t="s">
        <v>29</v>
      </c>
      <c r="F15" s="5">
        <v>1</v>
      </c>
      <c r="G15" s="4" t="s">
        <v>52</v>
      </c>
      <c r="H15" s="3" t="s">
        <v>37</v>
      </c>
      <c r="I15" s="3" t="s">
        <v>32</v>
      </c>
      <c r="J15" s="4" t="s">
        <v>53</v>
      </c>
      <c r="K15" s="9" t="s">
        <v>40</v>
      </c>
      <c r="M15" s="4" t="str">
        <f>IF(AND(ISNUMBER(D15),ISNUMBER(D16),ISNUMBER(D17),ISNUMBER(D18),ISNUMBER(D19),ISNUMBER(D20)),IF(AF15=1,W15,IF(AF16=1,W16,IF(AF17=1,W17,IF(AF18=1,W18,"")))),"")</f>
        <v>Sveits</v>
      </c>
      <c r="N15" s="3">
        <f>IF(AND(ISNUMBER(D15),ISNUMBER(D16),ISNUMBER(D17),ISNUMBER(D18),ISNUMBER(D19),ISNUMBER(D20)),IF(AF15=1,X15,IF(AF16=1,X16,IF(AF17=1,X17,IF(AF18=1,X18,"")))),"")</f>
        <v>3</v>
      </c>
      <c r="O15" s="3">
        <f>IF(AND(ISNUMBER(D15),ISNUMBER(D16),ISNUMBER(D17),ISNUMBER(D18),ISNUMBER(D19),ISNUMBER(D20)),IF(AF15=1,Y15,IF(AF16=1,Y16,IF(AF17=1,Y17,IF(AF18=1,Y18,"")))),"")</f>
        <v>3</v>
      </c>
      <c r="P15" s="3">
        <f>IF(AND(ISNUMBER(D15),ISNUMBER(D16),ISNUMBER(D17),ISNUMBER(D18),ISNUMBER(D19),ISNUMBER(D20)),IF(AF15=1,Z15,IF(AF16=1,Z16,IF(AF17=1,Z17,IF(AF18=1,Z18,"")))),"")</f>
        <v>0</v>
      </c>
      <c r="Q15" s="3">
        <f>IF(AND(ISNUMBER(D15),ISNUMBER(D16),ISNUMBER(D17),ISNUMBER(D18),ISNUMBER(D19),ISNUMBER(D20)),IF(AF15=1,AA15,IF(AF16=1,AA16,IF(AF17=1,AA17,IF(AF18=1,AA18,"")))),"")</f>
        <v>0</v>
      </c>
      <c r="R15" s="3">
        <f>IF(AND(ISNUMBER(D15),ISNUMBER(D16),ISNUMBER(D17),ISNUMBER(D18),ISNUMBER(D19),ISNUMBER(D20)),IF(AF15=1,AB15,IF(AF16=1,AB16,IF(AF17=1,AB17,IF(AF18=1,AB18,"")))),"")</f>
        <v>8</v>
      </c>
      <c r="S15" s="3">
        <f>IF(AND(ISNUMBER(D15),ISNUMBER(D16),ISNUMBER(D17),ISNUMBER(D18),ISNUMBER(D19),ISNUMBER(D20)),IF(AF15=1,AC15,IF(AF16=1,AC16,IF(AF17=1,AC17,IF(AF18=1,AC18,"")))),"")</f>
        <v>1</v>
      </c>
      <c r="T15" s="3">
        <f>IF(AND(ISNUMBER(D15),ISNUMBER(D16),ISNUMBER(D17),ISNUMBER(D18),ISNUMBER(D19),ISNUMBER(D20)),IF(AF15=1,AD15,IF(AF16=1,AD16,IF(AF17=1,AD17,IF(AF18=1,AD18,"")))),"")</f>
        <v>7</v>
      </c>
      <c r="U15" s="3">
        <f>IF(AND(ISNUMBER(D15),ISNUMBER(D16),ISNUMBER(D17),ISNUMBER(D18),ISNUMBER(D19),ISNUMBER(D20)),IF(AF15=1,AE15,IF(AF16=1,AE16,IF(AF17=1,AE17,IF(AF18=1,AE18,"")))),"")</f>
        <v>9</v>
      </c>
      <c r="W15" t="s">
        <v>51</v>
      </c>
      <c r="X15">
        <f>((C15="Canada")*ISNUMBER(D15))+((G15="Canada")*ISNUMBER(D15))+((C16="Canada")*ISNUMBER(D16))+((G16="Canada")*ISNUMBER(D16))+((C17="Canada")*ISNUMBER(D17))+((G17="Canada")*ISNUMBER(D17))+((C18="Canada")*ISNUMBER(D18))+((G18="Canada")*ISNUMBER(D18))+((C19="Canada")*ISNUMBER(D19))+((G19="Canada")*ISNUMBER(D19))+((C20="Canada")*ISNUMBER(D20))+((G20="Canada")*ISNUMBER(D20))</f>
        <v>3</v>
      </c>
      <c r="Y15">
        <f>((C15="Canada")*ISNUMBER(D15)*(D15&gt;F15))+((G15="Canada")*ISNUMBER(D15)*(F15&gt;D15))+((C16="Canada")*ISNUMBER(D16)*(D16&gt;F16))+((G16="Canada")*ISNUMBER(D16)*(F16&gt;D16))+((C17="Canada")*ISNUMBER(D17)*(D17&gt;F17))+((G17="Canada")*ISNUMBER(D17)*(F17&gt;D17))+((C18="Canada")*ISNUMBER(D18)*(D18&gt;F18))+((G18="Canada")*ISNUMBER(D18)*(F18&gt;D18))+((C19="Canada")*ISNUMBER(D19)*(D19&gt;F19))+((G19="Canada")*ISNUMBER(D19)*(F19&gt;D19))+((C20="Canada")*ISNUMBER(D20)*(D20&gt;F20))+((G20="Canada")*ISNUMBER(D20)*(F20&gt;D20))</f>
        <v>2</v>
      </c>
      <c r="Z15">
        <f>((C15="Canada")*ISNUMBER(D15)*(D15=F15))+((G15="Canada")*ISNUMBER(D15)*(F15=D15))+((C16="Canada")*ISNUMBER(D16)*(D16=F16))+((G16="Canada")*ISNUMBER(D16)*(F16=D16))+((C17="Canada")*ISNUMBER(D17)*(D17=F17))+((G17="Canada")*ISNUMBER(D17)*(F17=D17))+((C18="Canada")*ISNUMBER(D18)*(D18=F18))+((G18="Canada")*ISNUMBER(D18)*(F18=D18))+((C19="Canada")*ISNUMBER(D19)*(D19=F19))+((G19="Canada")*ISNUMBER(D19)*(F19=D19))+((C20="Canada")*ISNUMBER(D20)*(D20=F20))+((G20="Canada")*ISNUMBER(D20)*(F20=D20))</f>
        <v>0</v>
      </c>
      <c r="AA15">
        <f>((C15="Canada")*ISNUMBER(D15)*(D15&lt;F15))+((G15="Canada")*ISNUMBER(D15)*(F15&lt;D15))+((C16="Canada")*ISNUMBER(D16)*(D16&lt;F16))+((G16="Canada")*ISNUMBER(D16)*(F16&lt;D16))+((C17="Canada")*ISNUMBER(D17)*(D17&lt;F17))+((G17="Canada")*ISNUMBER(D17)*(F17&lt;D17))+((C18="Canada")*ISNUMBER(D18)*(D18&lt;F18))+((G18="Canada")*ISNUMBER(D18)*(F18&lt;D18))+((C19="Canada")*ISNUMBER(D19)*(D19&lt;F19))+((G19="Canada")*ISNUMBER(D19)*(F19&lt;D19))+((C20="Canada")*ISNUMBER(D20)*(D20&lt;F20))+((G20="Canada")*ISNUMBER(D20)*(F20&lt;D20))</f>
        <v>1</v>
      </c>
      <c r="AB15">
        <f>IF((C15="Canada")*ISNUMBER(D15),D15,0)+IF((G15="Canada")*ISNUMBER(D15),F15,0)+IF((C16="Canada")*ISNUMBER(D16),D16,0)+IF((G16="Canada")*ISNUMBER(D16),F16,0)+IF((C17="Canada")*ISNUMBER(D17),D17,0)+IF((G17="Canada")*ISNUMBER(D17),F17,0)+IF((C18="Canada")*ISNUMBER(D18),D18,0)+IF((G18="Canada")*ISNUMBER(D18),F18,0)+IF((C19="Canada")*ISNUMBER(D19),D19,0)+IF((G19="Canada")*ISNUMBER(D19),F19,0)+IF((C20="Canada")*ISNUMBER(D20),D20,0)+IF((G20="Canada")*ISNUMBER(D20),F20,0)</f>
        <v>5</v>
      </c>
      <c r="AC15">
        <f>IF((C15="Canada")*ISNUMBER(D15),F15,0)+IF((G15="Canada")*ISNUMBER(D15),D15,0)+IF((C16="Canada")*ISNUMBER(D16),F16,0)+IF((G16="Canada")*ISNUMBER(D16),D16,0)+IF((C17="Canada")*ISNUMBER(D17),F17,0)+IF((G17="Canada")*ISNUMBER(D17),D17,0)+IF((C18="Canada")*ISNUMBER(D18),F18,0)+IF((G18="Canada")*ISNUMBER(D18),D18,0)+IF((C19="Canada")*ISNUMBER(D19),F19,0)+IF((G19="Canada")*ISNUMBER(D19),D19,0)+IF((C20="Canada")*ISNUMBER(D20),F20,0)+IF((G20="Canada")*ISNUMBER(D20),D20,0)</f>
        <v>4</v>
      </c>
      <c r="AD15">
        <f>AB15-AC15</f>
        <v>1</v>
      </c>
      <c r="AE15">
        <f>3*Y15+Z15</f>
        <v>6</v>
      </c>
      <c r="AF15">
        <f>1+((AE16&gt;AE15)+(AE16=AE15)*(AD16&gt;AD15)+(AE16=AE15)*(AD16=AD15)*(AB16&gt;AB15)&gt;0)*1+((AE17&gt;AE15)+(AE17=AE15)*(AD17&gt;AD15)+(AE17=AE15)*(AD17=AD15)*(AB17&gt;AB15)&gt;0)*1+((AE18&gt;AE15)+(AE18=AE15)*(AD18&gt;AD15)+(AE18=AE15)*(AD18=AD15)*(AB18&gt;AB15)&gt;0)*1</f>
        <v>2</v>
      </c>
    </row>
    <row r="16" spans="1:32" ht="16.5" customHeight="1" x14ac:dyDescent="0.3">
      <c r="A16" s="7">
        <v>8</v>
      </c>
      <c r="B16" s="7" t="s">
        <v>50</v>
      </c>
      <c r="C16" s="8" t="s">
        <v>54</v>
      </c>
      <c r="D16" s="5">
        <v>0</v>
      </c>
      <c r="E16" s="7" t="s">
        <v>29</v>
      </c>
      <c r="F16" s="5">
        <v>3</v>
      </c>
      <c r="G16" s="8" t="s">
        <v>55</v>
      </c>
      <c r="H16" s="7" t="s">
        <v>56</v>
      </c>
      <c r="I16" s="7" t="s">
        <v>32</v>
      </c>
      <c r="J16" s="8" t="s">
        <v>57</v>
      </c>
      <c r="K16" s="9" t="s">
        <v>40</v>
      </c>
      <c r="M16" s="4" t="str">
        <f>IF(AND(ISNUMBER(D15),ISNUMBER(D16),ISNUMBER(D17),ISNUMBER(D18),ISNUMBER(D19),ISNUMBER(D20)),IF(AF15=2,W15,IF(AF16=2,W16,IF(AF17=2,W17,IF(AF18=2,W18,"")))),"")</f>
        <v>Canada</v>
      </c>
      <c r="N16" s="3">
        <f>IF(AND(ISNUMBER(D15),ISNUMBER(D16),ISNUMBER(D17),ISNUMBER(D18),ISNUMBER(D19),ISNUMBER(D20)),IF(AF15=2,X15,IF(AF16=2,X16,IF(AF17=2,X17,IF(AF18=2,X18,"")))),"")</f>
        <v>3</v>
      </c>
      <c r="O16" s="3">
        <f>IF(AND(ISNUMBER(D15),ISNUMBER(D16),ISNUMBER(D17),ISNUMBER(D18),ISNUMBER(D19),ISNUMBER(D20)),IF(AF15=2,Y15,IF(AF16=2,Y16,IF(AF17=2,Y17,IF(AF18=2,Y18,"")))),"")</f>
        <v>2</v>
      </c>
      <c r="P16" s="3">
        <f>IF(AND(ISNUMBER(D15),ISNUMBER(D16),ISNUMBER(D17),ISNUMBER(D18),ISNUMBER(D19),ISNUMBER(D20)),IF(AF15=2,Z15,IF(AF16=2,Z16,IF(AF17=2,Z17,IF(AF18=2,Z18,"")))),"")</f>
        <v>0</v>
      </c>
      <c r="Q16" s="3">
        <f>IF(AND(ISNUMBER(D15),ISNUMBER(D16),ISNUMBER(D17),ISNUMBER(D18),ISNUMBER(D19),ISNUMBER(D20)),IF(AF15=2,AA15,IF(AF16=2,AA16,IF(AF17=2,AA17,IF(AF18=2,AA18,"")))),"")</f>
        <v>1</v>
      </c>
      <c r="R16" s="3">
        <f>IF(AND(ISNUMBER(D15),ISNUMBER(D16),ISNUMBER(D17),ISNUMBER(D18),ISNUMBER(D19),ISNUMBER(D20)),IF(AF15=2,AB15,IF(AF16=2,AB16,IF(AF17=2,AB17,IF(AF18=2,AB18,"")))),"")</f>
        <v>5</v>
      </c>
      <c r="S16" s="3">
        <f>IF(AND(ISNUMBER(D15),ISNUMBER(D16),ISNUMBER(D17),ISNUMBER(D18),ISNUMBER(D19),ISNUMBER(D20)),IF(AF15=2,AC15,IF(AF16=2,AC16,IF(AF17=2,AC17,IF(AF18=2,AC18,"")))),"")</f>
        <v>4</v>
      </c>
      <c r="T16" s="3">
        <f>IF(AND(ISNUMBER(D15),ISNUMBER(D16),ISNUMBER(D17),ISNUMBER(D18),ISNUMBER(D19),ISNUMBER(D20)),IF(AF15=2,AD15,IF(AF16=2,AD16,IF(AF17=2,AD17,IF(AF18=2,AD18,"")))),"")</f>
        <v>1</v>
      </c>
      <c r="U16" s="3">
        <f>IF(AND(ISNUMBER(D15),ISNUMBER(D16),ISNUMBER(D17),ISNUMBER(D18),ISNUMBER(D19),ISNUMBER(D20)),IF(AF15=2,AE15,IF(AF16=2,AE16,IF(AF17=2,AE17,IF(AF18=2,AE18,"")))),"")</f>
        <v>6</v>
      </c>
      <c r="W16" t="s">
        <v>52</v>
      </c>
      <c r="X16">
        <f>((C15="Bosnia-Hercegovina")*ISNUMBER(D15))+((G15="Bosnia-Hercegovina")*ISNUMBER(D15))+((C16="Bosnia-Hercegovina")*ISNUMBER(D16))+((G16="Bosnia-Hercegovina")*ISNUMBER(D16))+((C17="Bosnia-Hercegovina")*ISNUMBER(D17))+((G17="Bosnia-Hercegovina")*ISNUMBER(D17))+((C18="Bosnia-Hercegovina")*ISNUMBER(D18))+((G18="Bosnia-Hercegovina")*ISNUMBER(D18))+((C19="Bosnia-Hercegovina")*ISNUMBER(D19))+((G19="Bosnia-Hercegovina")*ISNUMBER(D19))+((C20="Bosnia-Hercegovina")*ISNUMBER(D20))+((G20="Bosnia-Hercegovina")*ISNUMBER(D20))</f>
        <v>3</v>
      </c>
      <c r="Y16">
        <f>((C15="Bosnia-Hercegovina")*ISNUMBER(D15)*(D15&gt;F15))+((G15="Bosnia-Hercegovina")*ISNUMBER(D15)*(F15&gt;D15))+((C16="Bosnia-Hercegovina")*ISNUMBER(D16)*(D16&gt;F16))+((G16="Bosnia-Hercegovina")*ISNUMBER(D16)*(F16&gt;D16))+((C17="Bosnia-Hercegovina")*ISNUMBER(D17)*(D17&gt;F17))+((G17="Bosnia-Hercegovina")*ISNUMBER(D17)*(F17&gt;D17))+((C18="Bosnia-Hercegovina")*ISNUMBER(D18)*(D18&gt;F18))+((G18="Bosnia-Hercegovina")*ISNUMBER(D18)*(F18&gt;D18))+((C19="Bosnia-Hercegovina")*ISNUMBER(D19)*(D19&gt;F19))+((G19="Bosnia-Hercegovina")*ISNUMBER(D19)*(F19&gt;D19))+((C20="Bosnia-Hercegovina")*ISNUMBER(D20)*(D20&gt;F20))+((G20="Bosnia-Hercegovina")*ISNUMBER(D20)*(F20&gt;D20))</f>
        <v>1</v>
      </c>
      <c r="Z16">
        <f>((C15="Bosnia-Hercegovina")*ISNUMBER(D15)*(D15=F15))+((G15="Bosnia-Hercegovina")*ISNUMBER(D15)*(F15=D15))+((C16="Bosnia-Hercegovina")*ISNUMBER(D16)*(D16=F16))+((G16="Bosnia-Hercegovina")*ISNUMBER(D16)*(F16=D16))+((C17="Bosnia-Hercegovina")*ISNUMBER(D17)*(D17=F17))+((G17="Bosnia-Hercegovina")*ISNUMBER(D17)*(F17=D17))+((C18="Bosnia-Hercegovina")*ISNUMBER(D18)*(D18=F18))+((G18="Bosnia-Hercegovina")*ISNUMBER(D18)*(F18=D18))+((C19="Bosnia-Hercegovina")*ISNUMBER(D19)*(D19=F19))+((G19="Bosnia-Hercegovina")*ISNUMBER(D19)*(F19=D19))+((C20="Bosnia-Hercegovina")*ISNUMBER(D20)*(D20=F20))+((G20="Bosnia-Hercegovina")*ISNUMBER(D20)*(F20=D20))</f>
        <v>0</v>
      </c>
      <c r="AA16">
        <f>((C15="Bosnia-Hercegovina")*ISNUMBER(D15)*(D15&lt;F15))+((G15="Bosnia-Hercegovina")*ISNUMBER(D15)*(F15&lt;D15))+((C16="Bosnia-Hercegovina")*ISNUMBER(D16)*(D16&lt;F16))+((G16="Bosnia-Hercegovina")*ISNUMBER(D16)*(F16&lt;D16))+((C17="Bosnia-Hercegovina")*ISNUMBER(D17)*(D17&lt;F17))+((G17="Bosnia-Hercegovina")*ISNUMBER(D17)*(F17&lt;D17))+((C18="Bosnia-Hercegovina")*ISNUMBER(D18)*(D18&lt;F18))+((G18="Bosnia-Hercegovina")*ISNUMBER(D18)*(F18&lt;D18))+((C19="Bosnia-Hercegovina")*ISNUMBER(D19)*(D19&lt;F19))+((G19="Bosnia-Hercegovina")*ISNUMBER(D19)*(F19&lt;D19))+((C20="Bosnia-Hercegovina")*ISNUMBER(D20)*(D20&lt;F20))+((G20="Bosnia-Hercegovina")*ISNUMBER(D20)*(F20&lt;D20))</f>
        <v>2</v>
      </c>
      <c r="AB16">
        <f>IF((C15="Bosnia-Hercegovina")*ISNUMBER(D15),D15,0)+IF((G15="Bosnia-Hercegovina")*ISNUMBER(D15),F15,0)+IF((C16="Bosnia-Hercegovina")*ISNUMBER(D16),D16,0)+IF((G16="Bosnia-Hercegovina")*ISNUMBER(D16),F16,0)+IF((C17="Bosnia-Hercegovina")*ISNUMBER(D17),D17,0)+IF((G17="Bosnia-Hercegovina")*ISNUMBER(D17),F17,0)+IF((C18="Bosnia-Hercegovina")*ISNUMBER(D18),D18,0)+IF((G18="Bosnia-Hercegovina")*ISNUMBER(D18),F18,0)+IF((C19="Bosnia-Hercegovina")*ISNUMBER(D19),D19,0)+IF((G19="Bosnia-Hercegovina")*ISNUMBER(D19),F19,0)+IF((C20="Bosnia-Hercegovina")*ISNUMBER(D20),D20,0)+IF((G20="Bosnia-Hercegovina")*ISNUMBER(D20),F20,0)</f>
        <v>2</v>
      </c>
      <c r="AC16">
        <f>IF((C15="Bosnia-Hercegovina")*ISNUMBER(D15),F15,0)+IF((G15="Bosnia-Hercegovina")*ISNUMBER(D15),D15,0)+IF((C16="Bosnia-Hercegovina")*ISNUMBER(D16),F16,0)+IF((G16="Bosnia-Hercegovina")*ISNUMBER(D16),D16,0)+IF((C17="Bosnia-Hercegovina")*ISNUMBER(D17),F17,0)+IF((G17="Bosnia-Hercegovina")*ISNUMBER(D17),D17,0)+IF((C18="Bosnia-Hercegovina")*ISNUMBER(D18),F18,0)+IF((G18="Bosnia-Hercegovina")*ISNUMBER(D18),D18,0)+IF((C19="Bosnia-Hercegovina")*ISNUMBER(D19),F19,0)+IF((G19="Bosnia-Hercegovina")*ISNUMBER(D19),D19,0)+IF((C20="Bosnia-Hercegovina")*ISNUMBER(D20),F20,0)+IF((G20="Bosnia-Hercegovina")*ISNUMBER(D20),D20,0)</f>
        <v>4</v>
      </c>
      <c r="AD16">
        <f>AB16-AC16</f>
        <v>-2</v>
      </c>
      <c r="AE16">
        <f>3*Y16+Z16</f>
        <v>3</v>
      </c>
      <c r="AF16">
        <f>1+((AE15&gt;AE16)+(AE15=AE16)*(AD15&gt;AD16)+(AE15=AE16)*(AD15=AD16)*(AB15&gt;AB16)&gt;0)*1+((AE17&gt;AE16)+(AE17=AE16)*(AD17&gt;AD16)+(AE17=AE16)*(AD17=AD16)*(AB17&gt;AB16)&gt;0)*1+((AE18&gt;AE16)+(AE18=AE16)*(AD18&gt;AD16)+(AE18=AE16)*(AD18=AD16)*(AB18&gt;AB16)&gt;0)*1</f>
        <v>3</v>
      </c>
    </row>
    <row r="17" spans="1:32" ht="16.5" customHeight="1" x14ac:dyDescent="0.3">
      <c r="A17" s="3">
        <v>9</v>
      </c>
      <c r="B17" s="3" t="s">
        <v>50</v>
      </c>
      <c r="C17" s="4" t="s">
        <v>55</v>
      </c>
      <c r="D17" s="5">
        <v>2</v>
      </c>
      <c r="E17" s="3" t="s">
        <v>29</v>
      </c>
      <c r="F17" s="5">
        <v>0</v>
      </c>
      <c r="G17" s="4" t="s">
        <v>52</v>
      </c>
      <c r="H17" s="3" t="s">
        <v>41</v>
      </c>
      <c r="I17" s="3" t="s">
        <v>32</v>
      </c>
      <c r="J17" s="4" t="s">
        <v>58</v>
      </c>
      <c r="K17" s="6" t="s">
        <v>34</v>
      </c>
      <c r="M17" s="4" t="str">
        <f>IF(AND(ISNUMBER(D15),ISNUMBER(D16),ISNUMBER(D17),ISNUMBER(D18),ISNUMBER(D19),ISNUMBER(D20)),IF(AF15=3,W15,IF(AF16=3,W16,IF(AF17=3,W17,IF(AF18=3,W18,"")))),"")</f>
        <v>Bosnia-Hercegovina</v>
      </c>
      <c r="N17" s="3">
        <f>IF(AND(ISNUMBER(D15),ISNUMBER(D16),ISNUMBER(D17),ISNUMBER(D18),ISNUMBER(D19),ISNUMBER(D20)),IF(AF15=3,X15,IF(AF16=3,X16,IF(AF17=3,X17,IF(AF18=3,X18,"")))),"")</f>
        <v>3</v>
      </c>
      <c r="O17" s="3">
        <f>IF(AND(ISNUMBER(D15),ISNUMBER(D16),ISNUMBER(D17),ISNUMBER(D18),ISNUMBER(D19),ISNUMBER(D20)),IF(AF15=3,Y15,IF(AF16=3,Y16,IF(AF17=3,Y17,IF(AF18=3,Y18,"")))),"")</f>
        <v>1</v>
      </c>
      <c r="P17" s="3">
        <f>IF(AND(ISNUMBER(D15),ISNUMBER(D16),ISNUMBER(D17),ISNUMBER(D18),ISNUMBER(D19),ISNUMBER(D20)),IF(AF15=3,Z15,IF(AF16=3,Z16,IF(AF17=3,Z17,IF(AF18=3,Z18,"")))),"")</f>
        <v>0</v>
      </c>
      <c r="Q17" s="3">
        <f>IF(AND(ISNUMBER(D15),ISNUMBER(D16),ISNUMBER(D17),ISNUMBER(D18),ISNUMBER(D19),ISNUMBER(D20)),IF(AF15=3,AA15,IF(AF16=3,AA16,IF(AF17=3,AA17,IF(AF18=3,AA18,"")))),"")</f>
        <v>2</v>
      </c>
      <c r="R17" s="3">
        <f>IF(AND(ISNUMBER(D15),ISNUMBER(D16),ISNUMBER(D17),ISNUMBER(D18),ISNUMBER(D19),ISNUMBER(D20)),IF(AF15=3,AB15,IF(AF16=3,AB16,IF(AF17=3,AB17,IF(AF18=3,AB18,"")))),"")</f>
        <v>2</v>
      </c>
      <c r="S17" s="3">
        <f>IF(AND(ISNUMBER(D15),ISNUMBER(D16),ISNUMBER(D17),ISNUMBER(D18),ISNUMBER(D19),ISNUMBER(D20)),IF(AF15=3,AC15,IF(AF16=3,AC16,IF(AF17=3,AC17,IF(AF18=3,AC18,"")))),"")</f>
        <v>4</v>
      </c>
      <c r="T17" s="3">
        <f>IF(AND(ISNUMBER(D15),ISNUMBER(D16),ISNUMBER(D17),ISNUMBER(D18),ISNUMBER(D19),ISNUMBER(D20)),IF(AF15=3,AD15,IF(AF16=3,AD16,IF(AF17=3,AD17,IF(AF18=3,AD18,"")))),"")</f>
        <v>-2</v>
      </c>
      <c r="U17" s="3">
        <f>IF(AND(ISNUMBER(D15),ISNUMBER(D16),ISNUMBER(D17),ISNUMBER(D18),ISNUMBER(D19),ISNUMBER(D20)),IF(AF15=3,AE15,IF(AF16=3,AE16,IF(AF17=3,AE17,IF(AF18=3,AE18,"")))),"")</f>
        <v>3</v>
      </c>
      <c r="W17" t="s">
        <v>54</v>
      </c>
      <c r="X17">
        <f>((C15="Qatar")*ISNUMBER(D15))+((G15="Qatar")*ISNUMBER(D15))+((C16="Qatar")*ISNUMBER(D16))+((G16="Qatar")*ISNUMBER(D16))+((C17="Qatar")*ISNUMBER(D17))+((G17="Qatar")*ISNUMBER(D17))+((C18="Qatar")*ISNUMBER(D18))+((G18="Qatar")*ISNUMBER(D18))+((C19="Qatar")*ISNUMBER(D19))+((G19="Qatar")*ISNUMBER(D19))+((C20="Qatar")*ISNUMBER(D20))+((G20="Qatar")*ISNUMBER(D20))</f>
        <v>3</v>
      </c>
      <c r="Y17">
        <f>((C15="Qatar")*ISNUMBER(D15)*(D15&gt;F15))+((G15="Qatar")*ISNUMBER(D15)*(F15&gt;D15))+((C16="Qatar")*ISNUMBER(D16)*(D16&gt;F16))+((G16="Qatar")*ISNUMBER(D16)*(F16&gt;D16))+((C17="Qatar")*ISNUMBER(D17)*(D17&gt;F17))+((G17="Qatar")*ISNUMBER(D17)*(F17&gt;D17))+((C18="Qatar")*ISNUMBER(D18)*(D18&gt;F18))+((G18="Qatar")*ISNUMBER(D18)*(F18&gt;D18))+((C19="Qatar")*ISNUMBER(D19)*(D19&gt;F19))+((G19="Qatar")*ISNUMBER(D19)*(F19&gt;D19))+((C20="Qatar")*ISNUMBER(D20)*(D20&gt;F20))+((G20="Qatar")*ISNUMBER(D20)*(F20&gt;D20))</f>
        <v>0</v>
      </c>
      <c r="Z17">
        <f>((C15="Qatar")*ISNUMBER(D15)*(D15=F15))+((G15="Qatar")*ISNUMBER(D15)*(F15=D15))+((C16="Qatar")*ISNUMBER(D16)*(D16=F16))+((G16="Qatar")*ISNUMBER(D16)*(F16=D16))+((C17="Qatar")*ISNUMBER(D17)*(D17=F17))+((G17="Qatar")*ISNUMBER(D17)*(F17=D17))+((C18="Qatar")*ISNUMBER(D18)*(D18=F18))+((G18="Qatar")*ISNUMBER(D18)*(F18=D18))+((C19="Qatar")*ISNUMBER(D19)*(D19=F19))+((G19="Qatar")*ISNUMBER(D19)*(F19=D19))+((C20="Qatar")*ISNUMBER(D20)*(D20=F20))+((G20="Qatar")*ISNUMBER(D20)*(F20=D20))</f>
        <v>0</v>
      </c>
      <c r="AA17">
        <f>((C15="Qatar")*ISNUMBER(D15)*(D15&lt;F15))+((G15="Qatar")*ISNUMBER(D15)*(F15&lt;D15))+((C16="Qatar")*ISNUMBER(D16)*(D16&lt;F16))+((G16="Qatar")*ISNUMBER(D16)*(F16&lt;D16))+((C17="Qatar")*ISNUMBER(D17)*(D17&lt;F17))+((G17="Qatar")*ISNUMBER(D17)*(F17&lt;D17))+((C18="Qatar")*ISNUMBER(D18)*(D18&lt;F18))+((G18="Qatar")*ISNUMBER(D18)*(F18&lt;D18))+((C19="Qatar")*ISNUMBER(D19)*(D19&lt;F19))+((G19="Qatar")*ISNUMBER(D19)*(F19&lt;D19))+((C20="Qatar")*ISNUMBER(D20)*(D20&lt;F20))+((G20="Qatar")*ISNUMBER(D20)*(F20&lt;D20))</f>
        <v>3</v>
      </c>
      <c r="AB17">
        <f>IF((C15="Qatar")*ISNUMBER(D15),D15,0)+IF((G15="Qatar")*ISNUMBER(D15),F15,0)+IF((C16="Qatar")*ISNUMBER(D16),D16,0)+IF((G16="Qatar")*ISNUMBER(D16),F16,0)+IF((C17="Qatar")*ISNUMBER(D17),D17,0)+IF((G17="Qatar")*ISNUMBER(D17),F17,0)+IF((C18="Qatar")*ISNUMBER(D18),D18,0)+IF((G18="Qatar")*ISNUMBER(D18),F18,0)+IF((C19="Qatar")*ISNUMBER(D19),D19,0)+IF((G19="Qatar")*ISNUMBER(D19),F19,0)+IF((C20="Qatar")*ISNUMBER(D20),D20,0)+IF((G20="Qatar")*ISNUMBER(D20),F20,0)</f>
        <v>0</v>
      </c>
      <c r="AC17">
        <f>IF((C15="Qatar")*ISNUMBER(D15),F15,0)+IF((G15="Qatar")*ISNUMBER(D15),D15,0)+IF((C16="Qatar")*ISNUMBER(D16),F16,0)+IF((G16="Qatar")*ISNUMBER(D16),D16,0)+IF((C17="Qatar")*ISNUMBER(D17),F17,0)+IF((G17="Qatar")*ISNUMBER(D17),D17,0)+IF((C18="Qatar")*ISNUMBER(D18),F18,0)+IF((G18="Qatar")*ISNUMBER(D18),D18,0)+IF((C19="Qatar")*ISNUMBER(D19),F19,0)+IF((G19="Qatar")*ISNUMBER(D19),D19,0)+IF((C20="Qatar")*ISNUMBER(D20),F20,0)+IF((G20="Qatar")*ISNUMBER(D20),D20,0)</f>
        <v>6</v>
      </c>
      <c r="AD17">
        <f>AB17-AC17</f>
        <v>-6</v>
      </c>
      <c r="AE17">
        <f>3*Y17+Z17</f>
        <v>0</v>
      </c>
      <c r="AF17">
        <f>1+((AE15&gt;AE17)+(AE15=AE17)*(AD15&gt;AD17)+(AE15=AE17)*(AD15=AD17)*(AB15&gt;AB17)&gt;0)*1+((AE16&gt;AE17)+(AE16=AE17)*(AD16&gt;AD17)+(AE16=AE17)*(AD16=AD17)*(AB16&gt;AB17)&gt;0)*1+((AE18&gt;AE17)+(AE18=AE17)*(AD18&gt;AD17)+(AE18=AE17)*(AD18=AD17)*(AB18&gt;AB17)&gt;0)*1</f>
        <v>4</v>
      </c>
    </row>
    <row r="18" spans="1:32" ht="16.5" customHeight="1" x14ac:dyDescent="0.3">
      <c r="A18" s="7">
        <v>10</v>
      </c>
      <c r="B18" s="7" t="s">
        <v>50</v>
      </c>
      <c r="C18" s="8" t="s">
        <v>51</v>
      </c>
      <c r="D18" s="5">
        <v>2</v>
      </c>
      <c r="E18" s="7" t="s">
        <v>29</v>
      </c>
      <c r="F18" s="5">
        <v>0</v>
      </c>
      <c r="G18" s="8" t="s">
        <v>54</v>
      </c>
      <c r="H18" s="7" t="s">
        <v>44</v>
      </c>
      <c r="I18" s="7" t="s">
        <v>59</v>
      </c>
      <c r="J18" s="8" t="s">
        <v>60</v>
      </c>
      <c r="K18" s="6" t="s">
        <v>34</v>
      </c>
      <c r="M18" s="4" t="str">
        <f>IF(AND(ISNUMBER(D15),ISNUMBER(D16),ISNUMBER(D17),ISNUMBER(D18),ISNUMBER(D19),ISNUMBER(D20)),IF(AF15=4,W15,IF(AF16=4,W16,IF(AF17=4,W17,IF(AF18=4,W18,"")))),"")</f>
        <v>Qatar</v>
      </c>
      <c r="N18" s="3">
        <f>IF(AND(ISNUMBER(D15),ISNUMBER(D16),ISNUMBER(D17),ISNUMBER(D18),ISNUMBER(D19),ISNUMBER(D20)),IF(AF15=4,X15,IF(AF16=4,X16,IF(AF17=4,X17,IF(AF18=4,X18,"")))),"")</f>
        <v>3</v>
      </c>
      <c r="O18" s="3">
        <f>IF(AND(ISNUMBER(D15),ISNUMBER(D16),ISNUMBER(D17),ISNUMBER(D18),ISNUMBER(D19),ISNUMBER(D20)),IF(AF15=4,Y15,IF(AF16=4,Y16,IF(AF17=4,Y17,IF(AF18=4,Y18,"")))),"")</f>
        <v>0</v>
      </c>
      <c r="P18" s="3">
        <f>IF(AND(ISNUMBER(D15),ISNUMBER(D16),ISNUMBER(D17),ISNUMBER(D18),ISNUMBER(D19),ISNUMBER(D20)),IF(AF15=4,Z15,IF(AF16=4,Z16,IF(AF17=4,Z17,IF(AF18=4,Z18,"")))),"")</f>
        <v>0</v>
      </c>
      <c r="Q18" s="3">
        <f>IF(AND(ISNUMBER(D15),ISNUMBER(D16),ISNUMBER(D17),ISNUMBER(D18),ISNUMBER(D19),ISNUMBER(D20)),IF(AF15=4,AA15,IF(AF16=4,AA16,IF(AF17=4,AA17,IF(AF18=4,AA18,"")))),"")</f>
        <v>3</v>
      </c>
      <c r="R18" s="3">
        <f>IF(AND(ISNUMBER(D15),ISNUMBER(D16),ISNUMBER(D17),ISNUMBER(D18),ISNUMBER(D19),ISNUMBER(D20)),IF(AF15=4,AB15,IF(AF16=4,AB16,IF(AF17=4,AB17,IF(AF18=4,AB18,"")))),"")</f>
        <v>0</v>
      </c>
      <c r="S18" s="3">
        <f>IF(AND(ISNUMBER(D15),ISNUMBER(D16),ISNUMBER(D17),ISNUMBER(D18),ISNUMBER(D19),ISNUMBER(D20)),IF(AF15=4,AC15,IF(AF16=4,AC16,IF(AF17=4,AC17,IF(AF18=4,AC18,"")))),"")</f>
        <v>6</v>
      </c>
      <c r="T18" s="3">
        <f>IF(AND(ISNUMBER(D15),ISNUMBER(D16),ISNUMBER(D17),ISNUMBER(D18),ISNUMBER(D19),ISNUMBER(D20)),IF(AF15=4,AD15,IF(AF16=4,AD16,IF(AF17=4,AD17,IF(AF18=4,AD18,"")))),"")</f>
        <v>-6</v>
      </c>
      <c r="U18" s="3">
        <f>IF(AND(ISNUMBER(D15),ISNUMBER(D16),ISNUMBER(D17),ISNUMBER(D18),ISNUMBER(D19),ISNUMBER(D20)),IF(AF15=4,AE15,IF(AF16=4,AE16,IF(AF17=4,AE17,IF(AF18=4,AE18,"")))),"")</f>
        <v>0</v>
      </c>
      <c r="W18" t="s">
        <v>55</v>
      </c>
      <c r="X18">
        <f>((C15="Sveits")*ISNUMBER(D15))+((G15="Sveits")*ISNUMBER(D15))+((C16="Sveits")*ISNUMBER(D16))+((G16="Sveits")*ISNUMBER(D16))+((C17="Sveits")*ISNUMBER(D17))+((G17="Sveits")*ISNUMBER(D17))+((C18="Sveits")*ISNUMBER(D18))+((G18="Sveits")*ISNUMBER(D18))+((C19="Sveits")*ISNUMBER(D19))+((G19="Sveits")*ISNUMBER(D19))+((C20="Sveits")*ISNUMBER(D20))+((G20="Sveits")*ISNUMBER(D20))</f>
        <v>3</v>
      </c>
      <c r="Y18">
        <f>((C15="Sveits")*ISNUMBER(D15)*(D15&gt;F15))+((G15="Sveits")*ISNUMBER(D15)*(F15&gt;D15))+((C16="Sveits")*ISNUMBER(D16)*(D16&gt;F16))+((G16="Sveits")*ISNUMBER(D16)*(F16&gt;D16))+((C17="Sveits")*ISNUMBER(D17)*(D17&gt;F17))+((G17="Sveits")*ISNUMBER(D17)*(F17&gt;D17))+((C18="Sveits")*ISNUMBER(D18)*(D18&gt;F18))+((G18="Sveits")*ISNUMBER(D18)*(F18&gt;D18))+((C19="Sveits")*ISNUMBER(D19)*(D19&gt;F19))+((G19="Sveits")*ISNUMBER(D19)*(F19&gt;D19))+((C20="Sveits")*ISNUMBER(D20)*(D20&gt;F20))+((G20="Sveits")*ISNUMBER(D20)*(F20&gt;D20))</f>
        <v>3</v>
      </c>
      <c r="Z18">
        <f>((C15="Sveits")*ISNUMBER(D15)*(D15=F15))+((G15="Sveits")*ISNUMBER(D15)*(F15=D15))+((C16="Sveits")*ISNUMBER(D16)*(D16=F16))+((G16="Sveits")*ISNUMBER(D16)*(F16=D16))+((C17="Sveits")*ISNUMBER(D17)*(D17=F17))+((G17="Sveits")*ISNUMBER(D17)*(F17=D17))+((C18="Sveits")*ISNUMBER(D18)*(D18=F18))+((G18="Sveits")*ISNUMBER(D18)*(F18=D18))+((C19="Sveits")*ISNUMBER(D19)*(D19=F19))+((G19="Sveits")*ISNUMBER(D19)*(F19=D19))+((C20="Sveits")*ISNUMBER(D20)*(D20=F20))+((G20="Sveits")*ISNUMBER(D20)*(F20=D20))</f>
        <v>0</v>
      </c>
      <c r="AA18">
        <f>((C15="Sveits")*ISNUMBER(D15)*(D15&lt;F15))+((G15="Sveits")*ISNUMBER(D15)*(F15&lt;D15))+((C16="Sveits")*ISNUMBER(D16)*(D16&lt;F16))+((G16="Sveits")*ISNUMBER(D16)*(F16&lt;D16))+((C17="Sveits")*ISNUMBER(D17)*(D17&lt;F17))+((G17="Sveits")*ISNUMBER(D17)*(F17&lt;D17))+((C18="Sveits")*ISNUMBER(D18)*(D18&lt;F18))+((G18="Sveits")*ISNUMBER(D18)*(F18&lt;D18))+((C19="Sveits")*ISNUMBER(D19)*(D19&lt;F19))+((G19="Sveits")*ISNUMBER(D19)*(F19&lt;D19))+((C20="Sveits")*ISNUMBER(D20)*(D20&lt;F20))+((G20="Sveits")*ISNUMBER(D20)*(F20&lt;D20))</f>
        <v>0</v>
      </c>
      <c r="AB18">
        <f>IF((C15="Sveits")*ISNUMBER(D15),D15,0)+IF((G15="Sveits")*ISNUMBER(D15),F15,0)+IF((C16="Sveits")*ISNUMBER(D16),D16,0)+IF((G16="Sveits")*ISNUMBER(D16),F16,0)+IF((C17="Sveits")*ISNUMBER(D17),D17,0)+IF((G17="Sveits")*ISNUMBER(D17),F17,0)+IF((C18="Sveits")*ISNUMBER(D18),D18,0)+IF((G18="Sveits")*ISNUMBER(D18),F18,0)+IF((C19="Sveits")*ISNUMBER(D19),D19,0)+IF((G19="Sveits")*ISNUMBER(D19),F19,0)+IF((C20="Sveits")*ISNUMBER(D20),D20,0)+IF((G20="Sveits")*ISNUMBER(D20),F20,0)</f>
        <v>8</v>
      </c>
      <c r="AC18">
        <f>IF((C15="Sveits")*ISNUMBER(D15),F15,0)+IF((G15="Sveits")*ISNUMBER(D15),D15,0)+IF((C16="Sveits")*ISNUMBER(D16),F16,0)+IF((G16="Sveits")*ISNUMBER(D16),D16,0)+IF((C17="Sveits")*ISNUMBER(D17),F17,0)+IF((G17="Sveits")*ISNUMBER(D17),D17,0)+IF((C18="Sveits")*ISNUMBER(D18),F18,0)+IF((G18="Sveits")*ISNUMBER(D18),D18,0)+IF((C19="Sveits")*ISNUMBER(D19),F19,0)+IF((G19="Sveits")*ISNUMBER(D19),D19,0)+IF((C20="Sveits")*ISNUMBER(D20),F20,0)+IF((G20="Sveits")*ISNUMBER(D20),D20,0)</f>
        <v>1</v>
      </c>
      <c r="AD18">
        <f>AB18-AC18</f>
        <v>7</v>
      </c>
      <c r="AE18">
        <f>3*Y18+Z18</f>
        <v>9</v>
      </c>
      <c r="AF18">
        <f>1+((AE15&gt;AE18)+(AE15=AE18)*(AD15&gt;AD18)+(AE15=AE18)*(AD15=AD18)*(AB15&gt;AB18)&gt;0)*1+((AE16&gt;AE18)+(AE16=AE18)*(AD16&gt;AD18)+(AE16=AE18)*(AD16=AD18)*(AB16&gt;AB18)&gt;0)*1+((AE17&gt;AE18)+(AE17=AE18)*(AD17&gt;AD18)+(AE17=AE18)*(AD17=AD18)*(AB17&gt;AB18)&gt;0)*1</f>
        <v>1</v>
      </c>
    </row>
    <row r="19" spans="1:32" ht="16.5" customHeight="1" x14ac:dyDescent="0.3">
      <c r="A19" s="3">
        <v>11</v>
      </c>
      <c r="B19" s="3" t="s">
        <v>50</v>
      </c>
      <c r="C19" s="4" t="s">
        <v>55</v>
      </c>
      <c r="D19" s="5">
        <v>3</v>
      </c>
      <c r="E19" s="3" t="s">
        <v>29</v>
      </c>
      <c r="F19" s="5">
        <v>1</v>
      </c>
      <c r="G19" s="4" t="s">
        <v>51</v>
      </c>
      <c r="H19" s="3" t="s">
        <v>61</v>
      </c>
      <c r="I19" s="3" t="s">
        <v>32</v>
      </c>
      <c r="J19" s="4" t="s">
        <v>60</v>
      </c>
      <c r="K19" s="9" t="s">
        <v>40</v>
      </c>
    </row>
    <row r="20" spans="1:32" ht="16.5" customHeight="1" x14ac:dyDescent="0.3">
      <c r="A20" s="7">
        <v>12</v>
      </c>
      <c r="B20" s="7" t="s">
        <v>50</v>
      </c>
      <c r="C20" s="8" t="s">
        <v>52</v>
      </c>
      <c r="D20" s="5">
        <v>1</v>
      </c>
      <c r="E20" s="7" t="s">
        <v>29</v>
      </c>
      <c r="F20" s="5">
        <v>0</v>
      </c>
      <c r="G20" s="8" t="s">
        <v>54</v>
      </c>
      <c r="H20" s="7" t="s">
        <v>61</v>
      </c>
      <c r="I20" s="7" t="s">
        <v>32</v>
      </c>
      <c r="J20" s="8" t="s">
        <v>62</v>
      </c>
      <c r="K20" s="9" t="s">
        <v>40</v>
      </c>
    </row>
    <row r="21" spans="1:32" ht="18.75" customHeight="1" x14ac:dyDescent="0.3">
      <c r="A21" s="56" t="s">
        <v>63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M21" s="57" t="s">
        <v>64</v>
      </c>
      <c r="N21" s="57"/>
      <c r="O21" s="57"/>
      <c r="P21" s="57"/>
      <c r="Q21" s="57"/>
      <c r="R21" s="57"/>
      <c r="S21" s="57"/>
      <c r="T21" s="57"/>
      <c r="U21" s="57"/>
    </row>
    <row r="22" spans="1:32" ht="15.75" customHeight="1" x14ac:dyDescent="0.3">
      <c r="A22" s="1" t="s">
        <v>8</v>
      </c>
      <c r="B22" s="1" t="s">
        <v>9</v>
      </c>
      <c r="C22" s="1" t="s">
        <v>10</v>
      </c>
      <c r="D22" s="1" t="s">
        <v>11</v>
      </c>
      <c r="E22" s="1"/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M22" s="2" t="s">
        <v>18</v>
      </c>
      <c r="N22" s="2" t="s">
        <v>19</v>
      </c>
      <c r="O22" s="2" t="s">
        <v>20</v>
      </c>
      <c r="P22" s="2" t="s">
        <v>21</v>
      </c>
      <c r="Q22" s="2" t="s">
        <v>22</v>
      </c>
      <c r="R22" s="2" t="s">
        <v>23</v>
      </c>
      <c r="S22" s="2" t="s">
        <v>24</v>
      </c>
      <c r="T22" s="2" t="s">
        <v>25</v>
      </c>
      <c r="U22" s="2" t="s">
        <v>26</v>
      </c>
    </row>
    <row r="23" spans="1:32" ht="16.5" customHeight="1" x14ac:dyDescent="0.3">
      <c r="A23" s="3">
        <v>13</v>
      </c>
      <c r="B23" s="3" t="s">
        <v>65</v>
      </c>
      <c r="C23" s="4" t="s">
        <v>66</v>
      </c>
      <c r="D23" s="5">
        <v>2</v>
      </c>
      <c r="E23" s="3" t="s">
        <v>29</v>
      </c>
      <c r="F23" s="5">
        <v>2</v>
      </c>
      <c r="G23" s="4" t="s">
        <v>67</v>
      </c>
      <c r="H23" s="3" t="s">
        <v>68</v>
      </c>
      <c r="I23" s="3" t="s">
        <v>59</v>
      </c>
      <c r="J23" s="4" t="s">
        <v>69</v>
      </c>
      <c r="K23" s="6" t="s">
        <v>34</v>
      </c>
      <c r="M23" s="4" t="str">
        <f>IF(AND(ISNUMBER(D23),ISNUMBER(D24),ISNUMBER(D25),ISNUMBER(D26),ISNUMBER(D27),ISNUMBER(D28)),IF(AF23=1,W23,IF(AF24=1,W24,IF(AF25=1,W25,IF(AF26=1,W26,"")))),"")</f>
        <v>Marokko</v>
      </c>
      <c r="N23" s="3">
        <f>IF(AND(ISNUMBER(D23),ISNUMBER(D24),ISNUMBER(D25),ISNUMBER(D26),ISNUMBER(D27),ISNUMBER(D28)),IF(AF23=1,X23,IF(AF24=1,X24,IF(AF25=1,X25,IF(AF26=1,X26,"")))),"")</f>
        <v>3</v>
      </c>
      <c r="O23" s="3">
        <f>IF(AND(ISNUMBER(D23),ISNUMBER(D24),ISNUMBER(D25),ISNUMBER(D26),ISNUMBER(D27),ISNUMBER(D28)),IF(AF23=1,Y23,IF(AF24=1,Y24,IF(AF25=1,Y25,IF(AF26=1,Y26,"")))),"")</f>
        <v>2</v>
      </c>
      <c r="P23" s="3">
        <f>IF(AND(ISNUMBER(D23),ISNUMBER(D24),ISNUMBER(D25),ISNUMBER(D26),ISNUMBER(D27),ISNUMBER(D28)),IF(AF23=1,Z23,IF(AF24=1,Z24,IF(AF25=1,Z25,IF(AF26=1,Z26,"")))),"")</f>
        <v>1</v>
      </c>
      <c r="Q23" s="3">
        <f>IF(AND(ISNUMBER(D23),ISNUMBER(D24),ISNUMBER(D25),ISNUMBER(D26),ISNUMBER(D27),ISNUMBER(D28)),IF(AF23=1,AA23,IF(AF24=1,AA24,IF(AF25=1,AA25,IF(AF26=1,AA26,"")))),"")</f>
        <v>0</v>
      </c>
      <c r="R23" s="3">
        <f>IF(AND(ISNUMBER(D23),ISNUMBER(D24),ISNUMBER(D25),ISNUMBER(D26),ISNUMBER(D27),ISNUMBER(D28)),IF(AF23=1,AB23,IF(AF24=1,AB24,IF(AF25=1,AB25,IF(AF26=1,AB26,"")))),"")</f>
        <v>9</v>
      </c>
      <c r="S23" s="3">
        <f>IF(AND(ISNUMBER(D23),ISNUMBER(D24),ISNUMBER(D25),ISNUMBER(D26),ISNUMBER(D27),ISNUMBER(D28)),IF(AF23=1,AC23,IF(AF24=1,AC24,IF(AF25=1,AC25,IF(AF26=1,AC26,"")))),"")</f>
        <v>3</v>
      </c>
      <c r="T23" s="3">
        <f>IF(AND(ISNUMBER(D23),ISNUMBER(D24),ISNUMBER(D25),ISNUMBER(D26),ISNUMBER(D27),ISNUMBER(D28)),IF(AF23=1,AD23,IF(AF24=1,AD24,IF(AF25=1,AD25,IF(AF26=1,AD26,"")))),"")</f>
        <v>6</v>
      </c>
      <c r="U23" s="3">
        <f>IF(AND(ISNUMBER(D23),ISNUMBER(D24),ISNUMBER(D25),ISNUMBER(D26),ISNUMBER(D27),ISNUMBER(D28)),IF(AF23=1,AE23,IF(AF24=1,AE24,IF(AF25=1,AE25,IF(AF26=1,AE26,"")))),"")</f>
        <v>7</v>
      </c>
      <c r="W23" t="s">
        <v>66</v>
      </c>
      <c r="X23">
        <f>((C23="Brasil")*ISNUMBER(D23))+((G23="Brasil")*ISNUMBER(D23))+((C24="Brasil")*ISNUMBER(D24))+((G24="Brasil")*ISNUMBER(D24))+((C25="Brasil")*ISNUMBER(D25))+((G25="Brasil")*ISNUMBER(D25))+((C26="Brasil")*ISNUMBER(D26))+((G26="Brasil")*ISNUMBER(D26))+((C27="Brasil")*ISNUMBER(D27))+((G27="Brasil")*ISNUMBER(D27))+((C28="Brasil")*ISNUMBER(D28))+((G28="Brasil")*ISNUMBER(D28))</f>
        <v>3</v>
      </c>
      <c r="Y23">
        <f>((C23="Brasil")*ISNUMBER(D23)*(D23&gt;F23))+((G23="Brasil")*ISNUMBER(D23)*(F23&gt;D23))+((C24="Brasil")*ISNUMBER(D24)*(D24&gt;F24))+((G24="Brasil")*ISNUMBER(D24)*(F24&gt;D24))+((C25="Brasil")*ISNUMBER(D25)*(D25&gt;F25))+((G25="Brasil")*ISNUMBER(D25)*(F25&gt;D25))+((C26="Brasil")*ISNUMBER(D26)*(D26&gt;F26))+((G26="Brasil")*ISNUMBER(D26)*(F26&gt;D26))+((C27="Brasil")*ISNUMBER(D27)*(D27&gt;F27))+((G27="Brasil")*ISNUMBER(D27)*(F27&gt;D27))+((C28="Brasil")*ISNUMBER(D28)*(D28&gt;F28))+((G28="Brasil")*ISNUMBER(D28)*(F28&gt;D28))</f>
        <v>2</v>
      </c>
      <c r="Z23">
        <f>((C23="Brasil")*ISNUMBER(D23)*(D23=F23))+((G23="Brasil")*ISNUMBER(D23)*(F23=D23))+((C24="Brasil")*ISNUMBER(D24)*(D24=F24))+((G24="Brasil")*ISNUMBER(D24)*(F24=D24))+((C25="Brasil")*ISNUMBER(D25)*(D25=F25))+((G25="Brasil")*ISNUMBER(D25)*(F25=D25))+((C26="Brasil")*ISNUMBER(D26)*(D26=F26))+((G26="Brasil")*ISNUMBER(D26)*(F26=D26))+((C27="Brasil")*ISNUMBER(D27)*(D27=F27))+((G27="Brasil")*ISNUMBER(D27)*(F27=D27))+((C28="Brasil")*ISNUMBER(D28)*(D28=F28))+((G28="Brasil")*ISNUMBER(D28)*(F28=D28))</f>
        <v>1</v>
      </c>
      <c r="AA23">
        <f>((C23="Brasil")*ISNUMBER(D23)*(D23&lt;F23))+((G23="Brasil")*ISNUMBER(D23)*(F23&lt;D23))+((C24="Brasil")*ISNUMBER(D24)*(D24&lt;F24))+((G24="Brasil")*ISNUMBER(D24)*(F24&lt;D24))+((C25="Brasil")*ISNUMBER(D25)*(D25&lt;F25))+((G25="Brasil")*ISNUMBER(D25)*(F25&lt;D25))+((C26="Brasil")*ISNUMBER(D26)*(D26&lt;F26))+((G26="Brasil")*ISNUMBER(D26)*(F26&lt;D26))+((C27="Brasil")*ISNUMBER(D27)*(D27&lt;F27))+((G27="Brasil")*ISNUMBER(D27)*(F27&lt;D27))+((C28="Brasil")*ISNUMBER(D28)*(D28&lt;F28))+((G28="Brasil")*ISNUMBER(D28)*(F28&lt;D28))</f>
        <v>0</v>
      </c>
      <c r="AB23">
        <f>IF((C23="Brasil")*ISNUMBER(D23),D23,0)+IF((G23="Brasil")*ISNUMBER(D23),F23,0)+IF((C24="Brasil")*ISNUMBER(D24),D24,0)+IF((G24="Brasil")*ISNUMBER(D24),F24,0)+IF((C25="Brasil")*ISNUMBER(D25),D25,0)+IF((G25="Brasil")*ISNUMBER(D25),F25,0)+IF((C26="Brasil")*ISNUMBER(D26),D26,0)+IF((G26="Brasil")*ISNUMBER(D26),F26,0)+IF((C27="Brasil")*ISNUMBER(D27),D27,0)+IF((G27="Brasil")*ISNUMBER(D27),F27,0)+IF((C28="Brasil")*ISNUMBER(D28),D28,0)+IF((G28="Brasil")*ISNUMBER(D28),F28,0)</f>
        <v>8</v>
      </c>
      <c r="AC23">
        <f>IF((C23="Brasil")*ISNUMBER(D23),F23,0)+IF((G23="Brasil")*ISNUMBER(D23),D23,0)+IF((C24="Brasil")*ISNUMBER(D24),F24,0)+IF((G24="Brasil")*ISNUMBER(D24),D24,0)+IF((C25="Brasil")*ISNUMBER(D25),F25,0)+IF((G25="Brasil")*ISNUMBER(D25),D25,0)+IF((C26="Brasil")*ISNUMBER(D26),F26,0)+IF((G26="Brasil")*ISNUMBER(D26),D26,0)+IF((C27="Brasil")*ISNUMBER(D27),F27,0)+IF((G27="Brasil")*ISNUMBER(D27),D27,0)+IF((C28="Brasil")*ISNUMBER(D28),F28,0)+IF((G28="Brasil")*ISNUMBER(D28),D28,0)</f>
        <v>4</v>
      </c>
      <c r="AD23">
        <f>AB23-AC23</f>
        <v>4</v>
      </c>
      <c r="AE23">
        <f>3*Y23+Z23</f>
        <v>7</v>
      </c>
      <c r="AF23">
        <f>1+((AE24&gt;AE23)+(AE24=AE23)*(AD24&gt;AD23)+(AE24=AE23)*(AD24=AD23)*(AB24&gt;AB23)&gt;0)*1+((AE25&gt;AE23)+(AE25=AE23)*(AD25&gt;AD23)+(AE25=AE23)*(AD25=AD23)*(AB25&gt;AB23)&gt;0)*1+((AE26&gt;AE23)+(AE26=AE23)*(AD26&gt;AD23)+(AE26=AE23)*(AD26=AD23)*(AB26&gt;AB23)&gt;0)*1</f>
        <v>2</v>
      </c>
    </row>
    <row r="24" spans="1:32" ht="16.5" customHeight="1" x14ac:dyDescent="0.3">
      <c r="A24" s="7">
        <v>14</v>
      </c>
      <c r="B24" s="7" t="s">
        <v>65</v>
      </c>
      <c r="C24" s="8" t="s">
        <v>70</v>
      </c>
      <c r="D24" s="5">
        <v>1</v>
      </c>
      <c r="E24" s="7" t="s">
        <v>29</v>
      </c>
      <c r="F24" s="5">
        <v>0</v>
      </c>
      <c r="G24" s="8" t="s">
        <v>71</v>
      </c>
      <c r="H24" s="7" t="s">
        <v>68</v>
      </c>
      <c r="I24" s="7" t="s">
        <v>45</v>
      </c>
      <c r="J24" s="8" t="s">
        <v>72</v>
      </c>
      <c r="K24" s="6" t="s">
        <v>34</v>
      </c>
      <c r="M24" s="4" t="str">
        <f>IF(AND(ISNUMBER(D23),ISNUMBER(D24),ISNUMBER(D25),ISNUMBER(D26),ISNUMBER(D27),ISNUMBER(D28)),IF(AF23=2,W23,IF(AF24=2,W24,IF(AF25=2,W25,IF(AF26=2,W26,"")))),"")</f>
        <v>Brasil</v>
      </c>
      <c r="N24" s="3">
        <f>IF(AND(ISNUMBER(D23),ISNUMBER(D24),ISNUMBER(D25),ISNUMBER(D26),ISNUMBER(D27),ISNUMBER(D28)),IF(AF23=2,X23,IF(AF24=2,X24,IF(AF25=2,X25,IF(AF26=2,X26,"")))),"")</f>
        <v>3</v>
      </c>
      <c r="O24" s="3">
        <f>IF(AND(ISNUMBER(D23),ISNUMBER(D24),ISNUMBER(D25),ISNUMBER(D26),ISNUMBER(D27),ISNUMBER(D28)),IF(AF23=2,Y23,IF(AF24=2,Y24,IF(AF25=2,Y25,IF(AF26=2,Y26,"")))),"")</f>
        <v>2</v>
      </c>
      <c r="P24" s="3">
        <f>IF(AND(ISNUMBER(D23),ISNUMBER(D24),ISNUMBER(D25),ISNUMBER(D26),ISNUMBER(D27),ISNUMBER(D28)),IF(AF23=2,Z23,IF(AF24=2,Z24,IF(AF25=2,Z25,IF(AF26=2,Z26,"")))),"")</f>
        <v>1</v>
      </c>
      <c r="Q24" s="3">
        <f>IF(AND(ISNUMBER(D23),ISNUMBER(D24),ISNUMBER(D25),ISNUMBER(D26),ISNUMBER(D27),ISNUMBER(D28)),IF(AF23=2,AA23,IF(AF24=2,AA24,IF(AF25=2,AA25,IF(AF26=2,AA26,"")))),"")</f>
        <v>0</v>
      </c>
      <c r="R24" s="3">
        <f>IF(AND(ISNUMBER(D23),ISNUMBER(D24),ISNUMBER(D25),ISNUMBER(D26),ISNUMBER(D27),ISNUMBER(D28)),IF(AF23=2,AB23,IF(AF24=2,AB24,IF(AF25=2,AB25,IF(AF26=2,AB26,"")))),"")</f>
        <v>8</v>
      </c>
      <c r="S24" s="3">
        <f>IF(AND(ISNUMBER(D23),ISNUMBER(D24),ISNUMBER(D25),ISNUMBER(D26),ISNUMBER(D27),ISNUMBER(D28)),IF(AF23=2,AC23,IF(AF24=2,AC24,IF(AF25=2,AC25,IF(AF26=2,AC26,"")))),"")</f>
        <v>4</v>
      </c>
      <c r="T24" s="3">
        <f>IF(AND(ISNUMBER(D23),ISNUMBER(D24),ISNUMBER(D25),ISNUMBER(D26),ISNUMBER(D27),ISNUMBER(D28)),IF(AF23=2,AD23,IF(AF24=2,AD24,IF(AF25=2,AD25,IF(AF26=2,AD26,"")))),"")</f>
        <v>4</v>
      </c>
      <c r="U24" s="3">
        <f>IF(AND(ISNUMBER(D23),ISNUMBER(D24),ISNUMBER(D25),ISNUMBER(D26),ISNUMBER(D27),ISNUMBER(D28)),IF(AF23=2,AE23,IF(AF24=2,AE24,IF(AF25=2,AE25,IF(AF26=2,AE26,"")))),"")</f>
        <v>7</v>
      </c>
      <c r="W24" t="s">
        <v>67</v>
      </c>
      <c r="X24">
        <f>((C23="Marokko")*ISNUMBER(D23))+((G23="Marokko")*ISNUMBER(D23))+((C24="Marokko")*ISNUMBER(D24))+((G24="Marokko")*ISNUMBER(D24))+((C25="Marokko")*ISNUMBER(D25))+((G25="Marokko")*ISNUMBER(D25))+((C26="Marokko")*ISNUMBER(D26))+((G26="Marokko")*ISNUMBER(D26))+((C27="Marokko")*ISNUMBER(D27))+((G27="Marokko")*ISNUMBER(D27))+((C28="Marokko")*ISNUMBER(D28))+((G28="Marokko")*ISNUMBER(D28))</f>
        <v>3</v>
      </c>
      <c r="Y24">
        <f>((C23="Marokko")*ISNUMBER(D23)*(D23&gt;F23))+((G23="Marokko")*ISNUMBER(D23)*(F23&gt;D23))+((C24="Marokko")*ISNUMBER(D24)*(D24&gt;F24))+((G24="Marokko")*ISNUMBER(D24)*(F24&gt;D24))+((C25="Marokko")*ISNUMBER(D25)*(D25&gt;F25))+((G25="Marokko")*ISNUMBER(D25)*(F25&gt;D25))+((C26="Marokko")*ISNUMBER(D26)*(D26&gt;F26))+((G26="Marokko")*ISNUMBER(D26)*(F26&gt;D26))+((C27="Marokko")*ISNUMBER(D27)*(D27&gt;F27))+((G27="Marokko")*ISNUMBER(D27)*(F27&gt;D27))+((C28="Marokko")*ISNUMBER(D28)*(D28&gt;F28))+((G28="Marokko")*ISNUMBER(D28)*(F28&gt;D28))</f>
        <v>2</v>
      </c>
      <c r="Z24">
        <f>((C23="Marokko")*ISNUMBER(D23)*(D23=F23))+((G23="Marokko")*ISNUMBER(D23)*(F23=D23))+((C24="Marokko")*ISNUMBER(D24)*(D24=F24))+((G24="Marokko")*ISNUMBER(D24)*(F24=D24))+((C25="Marokko")*ISNUMBER(D25)*(D25=F25))+((G25="Marokko")*ISNUMBER(D25)*(F25=D25))+((C26="Marokko")*ISNUMBER(D26)*(D26=F26))+((G26="Marokko")*ISNUMBER(D26)*(F26=D26))+((C27="Marokko")*ISNUMBER(D27)*(D27=F27))+((G27="Marokko")*ISNUMBER(D27)*(F27=D27))+((C28="Marokko")*ISNUMBER(D28)*(D28=F28))+((G28="Marokko")*ISNUMBER(D28)*(F28=D28))</f>
        <v>1</v>
      </c>
      <c r="AA24">
        <f>((C23="Marokko")*ISNUMBER(D23)*(D23&lt;F23))+((G23="Marokko")*ISNUMBER(D23)*(F23&lt;D23))+((C24="Marokko")*ISNUMBER(D24)*(D24&lt;F24))+((G24="Marokko")*ISNUMBER(D24)*(F24&lt;D24))+((C25="Marokko")*ISNUMBER(D25)*(D25&lt;F25))+((G25="Marokko")*ISNUMBER(D25)*(F25&lt;D25))+((C26="Marokko")*ISNUMBER(D26)*(D26&lt;F26))+((G26="Marokko")*ISNUMBER(D26)*(F26&lt;D26))+((C27="Marokko")*ISNUMBER(D27)*(D27&lt;F27))+((G27="Marokko")*ISNUMBER(D27)*(F27&lt;D27))+((C28="Marokko")*ISNUMBER(D28)*(D28&lt;F28))+((G28="Marokko")*ISNUMBER(D28)*(F28&lt;D28))</f>
        <v>0</v>
      </c>
      <c r="AB24">
        <f>IF((C23="Marokko")*ISNUMBER(D23),D23,0)+IF((G23="Marokko")*ISNUMBER(D23),F23,0)+IF((C24="Marokko")*ISNUMBER(D24),D24,0)+IF((G24="Marokko")*ISNUMBER(D24),F24,0)+IF((C25="Marokko")*ISNUMBER(D25),D25,0)+IF((G25="Marokko")*ISNUMBER(D25),F25,0)+IF((C26="Marokko")*ISNUMBER(D26),D26,0)+IF((G26="Marokko")*ISNUMBER(D26),F26,0)+IF((C27="Marokko")*ISNUMBER(D27),D27,0)+IF((G27="Marokko")*ISNUMBER(D27),F27,0)+IF((C28="Marokko")*ISNUMBER(D28),D28,0)+IF((G28="Marokko")*ISNUMBER(D28),F28,0)</f>
        <v>9</v>
      </c>
      <c r="AC24">
        <f>IF((C23="Marokko")*ISNUMBER(D23),F23,0)+IF((G23="Marokko")*ISNUMBER(D23),D23,0)+IF((C24="Marokko")*ISNUMBER(D24),F24,0)+IF((G24="Marokko")*ISNUMBER(D24),D24,0)+IF((C25="Marokko")*ISNUMBER(D25),F25,0)+IF((G25="Marokko")*ISNUMBER(D25),D25,0)+IF((C26="Marokko")*ISNUMBER(D26),F26,0)+IF((G26="Marokko")*ISNUMBER(D26),D26,0)+IF((C27="Marokko")*ISNUMBER(D27),F27,0)+IF((G27="Marokko")*ISNUMBER(D27),D27,0)+IF((C28="Marokko")*ISNUMBER(D28),F28,0)+IF((G28="Marokko")*ISNUMBER(D28),D28,0)</f>
        <v>3</v>
      </c>
      <c r="AD24">
        <f>AB24-AC24</f>
        <v>6</v>
      </c>
      <c r="AE24">
        <f>3*Y24+Z24</f>
        <v>7</v>
      </c>
      <c r="AF24">
        <f>1+((AE23&gt;AE24)+(AE23=AE24)*(AD23&gt;AD24)+(AE23=AE24)*(AD23=AD24)*(AB23&gt;AB24)&gt;0)*1+((AE25&gt;AE24)+(AE25=AE24)*(AD25&gt;AD24)+(AE25=AE24)*(AD25=AD24)*(AB25&gt;AB24)&gt;0)*1+((AE26&gt;AE24)+(AE26=AE24)*(AD26&gt;AD24)+(AE26=AE24)*(AD26=AD24)*(AB26&gt;AB24)&gt;0)*1</f>
        <v>1</v>
      </c>
    </row>
    <row r="25" spans="1:32" ht="16.5" customHeight="1" x14ac:dyDescent="0.3">
      <c r="A25" s="3">
        <v>15</v>
      </c>
      <c r="B25" s="3" t="s">
        <v>65</v>
      </c>
      <c r="C25" s="4" t="s">
        <v>71</v>
      </c>
      <c r="D25" s="5">
        <v>0</v>
      </c>
      <c r="E25" s="3" t="s">
        <v>29</v>
      </c>
      <c r="F25" s="5">
        <v>3</v>
      </c>
      <c r="G25" s="4" t="s">
        <v>67</v>
      </c>
      <c r="H25" s="3" t="s">
        <v>73</v>
      </c>
      <c r="I25" s="3" t="s">
        <v>59</v>
      </c>
      <c r="J25" s="4" t="s">
        <v>72</v>
      </c>
      <c r="K25" s="9" t="s">
        <v>40</v>
      </c>
      <c r="M25" s="4" t="str">
        <f>IF(AND(ISNUMBER(D23),ISNUMBER(D24),ISNUMBER(D25),ISNUMBER(D26),ISNUMBER(D27),ISNUMBER(D28)),IF(AF23=3,W23,IF(AF24=3,W24,IF(AF25=3,W25,IF(AF26=3,W26,"")))),"")</f>
        <v>Haiti</v>
      </c>
      <c r="N25" s="3">
        <f>IF(AND(ISNUMBER(D23),ISNUMBER(D24),ISNUMBER(D25),ISNUMBER(D26),ISNUMBER(D27),ISNUMBER(D28)),IF(AF23=3,X23,IF(AF24=3,X24,IF(AF25=3,X25,IF(AF26=3,X26,"")))),"")</f>
        <v>3</v>
      </c>
      <c r="O25" s="3">
        <f>IF(AND(ISNUMBER(D23),ISNUMBER(D24),ISNUMBER(D25),ISNUMBER(D26),ISNUMBER(D27),ISNUMBER(D28)),IF(AF23=3,Y23,IF(AF24=3,Y24,IF(AF25=3,Y25,IF(AF26=3,Y26,"")))),"")</f>
        <v>1</v>
      </c>
      <c r="P25" s="3">
        <f>IF(AND(ISNUMBER(D23),ISNUMBER(D24),ISNUMBER(D25),ISNUMBER(D26),ISNUMBER(D27),ISNUMBER(D28)),IF(AF23=3,Z23,IF(AF24=3,Z24,IF(AF25=3,Z25,IF(AF26=3,Z26,"")))),"")</f>
        <v>0</v>
      </c>
      <c r="Q25" s="3">
        <f>IF(AND(ISNUMBER(D23),ISNUMBER(D24),ISNUMBER(D25),ISNUMBER(D26),ISNUMBER(D27),ISNUMBER(D28)),IF(AF23=3,AA23,IF(AF24=3,AA24,IF(AF25=3,AA25,IF(AF26=3,AA26,"")))),"")</f>
        <v>2</v>
      </c>
      <c r="R25" s="3">
        <f>IF(AND(ISNUMBER(D23),ISNUMBER(D24),ISNUMBER(D25),ISNUMBER(D26),ISNUMBER(D27),ISNUMBER(D28)),IF(AF23=3,AB23,IF(AF24=3,AB24,IF(AF25=3,AB25,IF(AF26=3,AB26,"")))),"")</f>
        <v>3</v>
      </c>
      <c r="S25" s="3">
        <f>IF(AND(ISNUMBER(D23),ISNUMBER(D24),ISNUMBER(D25),ISNUMBER(D26),ISNUMBER(D27),ISNUMBER(D28)),IF(AF23=3,AC23,IF(AF24=3,AC24,IF(AF25=3,AC25,IF(AF26=3,AC26,"")))),"")</f>
        <v>8</v>
      </c>
      <c r="T25" s="3">
        <f>IF(AND(ISNUMBER(D23),ISNUMBER(D24),ISNUMBER(D25),ISNUMBER(D26),ISNUMBER(D27),ISNUMBER(D28)),IF(AF23=3,AD23,IF(AF24=3,AD24,IF(AF25=3,AD25,IF(AF26=3,AD26,"")))),"")</f>
        <v>-5</v>
      </c>
      <c r="U25" s="3">
        <f>IF(AND(ISNUMBER(D23),ISNUMBER(D24),ISNUMBER(D25),ISNUMBER(D26),ISNUMBER(D27),ISNUMBER(D28)),IF(AF23=3,AE23,IF(AF24=3,AE24,IF(AF25=3,AE25,IF(AF26=3,AE26,"")))),"")</f>
        <v>3</v>
      </c>
      <c r="W25" t="s">
        <v>70</v>
      </c>
      <c r="X25">
        <f>((C23="Haiti")*ISNUMBER(D23))+((G23="Haiti")*ISNUMBER(D23))+((C24="Haiti")*ISNUMBER(D24))+((G24="Haiti")*ISNUMBER(D24))+((C25="Haiti")*ISNUMBER(D25))+((G25="Haiti")*ISNUMBER(D25))+((C26="Haiti")*ISNUMBER(D26))+((G26="Haiti")*ISNUMBER(D26))+((C27="Haiti")*ISNUMBER(D27))+((G27="Haiti")*ISNUMBER(D27))+((C28="Haiti")*ISNUMBER(D28))+((G28="Haiti")*ISNUMBER(D28))</f>
        <v>3</v>
      </c>
      <c r="Y25">
        <f>((C23="Haiti")*ISNUMBER(D23)*(D23&gt;F23))+((G23="Haiti")*ISNUMBER(D23)*(F23&gt;D23))+((C24="Haiti")*ISNUMBER(D24)*(D24&gt;F24))+((G24="Haiti")*ISNUMBER(D24)*(F24&gt;D24))+((C25="Haiti")*ISNUMBER(D25)*(D25&gt;F25))+((G25="Haiti")*ISNUMBER(D25)*(F25&gt;D25))+((C26="Haiti")*ISNUMBER(D26)*(D26&gt;F26))+((G26="Haiti")*ISNUMBER(D26)*(F26&gt;D26))+((C27="Haiti")*ISNUMBER(D27)*(D27&gt;F27))+((G27="Haiti")*ISNUMBER(D27)*(F27&gt;D27))+((C28="Haiti")*ISNUMBER(D28)*(D28&gt;F28))+((G28="Haiti")*ISNUMBER(D28)*(F28&gt;D28))</f>
        <v>1</v>
      </c>
      <c r="Z25">
        <f>((C23="Haiti")*ISNUMBER(D23)*(D23=F23))+((G23="Haiti")*ISNUMBER(D23)*(F23=D23))+((C24="Haiti")*ISNUMBER(D24)*(D24=F24))+((G24="Haiti")*ISNUMBER(D24)*(F24=D24))+((C25="Haiti")*ISNUMBER(D25)*(D25=F25))+((G25="Haiti")*ISNUMBER(D25)*(F25=D25))+((C26="Haiti")*ISNUMBER(D26)*(D26=F26))+((G26="Haiti")*ISNUMBER(D26)*(F26=D26))+((C27="Haiti")*ISNUMBER(D27)*(D27=F27))+((G27="Haiti")*ISNUMBER(D27)*(F27=D27))+((C28="Haiti")*ISNUMBER(D28)*(D28=F28))+((G28="Haiti")*ISNUMBER(D28)*(F28=D28))</f>
        <v>0</v>
      </c>
      <c r="AA25">
        <f>((C23="Haiti")*ISNUMBER(D23)*(D23&lt;F23))+((G23="Haiti")*ISNUMBER(D23)*(F23&lt;D23))+((C24="Haiti")*ISNUMBER(D24)*(D24&lt;F24))+((G24="Haiti")*ISNUMBER(D24)*(F24&lt;D24))+((C25="Haiti")*ISNUMBER(D25)*(D25&lt;F25))+((G25="Haiti")*ISNUMBER(D25)*(F25&lt;D25))+((C26="Haiti")*ISNUMBER(D26)*(D26&lt;F26))+((G26="Haiti")*ISNUMBER(D26)*(F26&lt;D26))+((C27="Haiti")*ISNUMBER(D27)*(D27&lt;F27))+((G27="Haiti")*ISNUMBER(D27)*(F27&lt;D27))+((C28="Haiti")*ISNUMBER(D28)*(D28&lt;F28))+((G28="Haiti")*ISNUMBER(D28)*(F28&lt;D28))</f>
        <v>2</v>
      </c>
      <c r="AB25">
        <f>IF((C23="Haiti")*ISNUMBER(D23),D23,0)+IF((G23="Haiti")*ISNUMBER(D23),F23,0)+IF((C24="Haiti")*ISNUMBER(D24),D24,0)+IF((G24="Haiti")*ISNUMBER(D24),F24,0)+IF((C25="Haiti")*ISNUMBER(D25),D25,0)+IF((G25="Haiti")*ISNUMBER(D25),F25,0)+IF((C26="Haiti")*ISNUMBER(D26),D26,0)+IF((G26="Haiti")*ISNUMBER(D26),F26,0)+IF((C27="Haiti")*ISNUMBER(D27),D27,0)+IF((G27="Haiti")*ISNUMBER(D27),F27,0)+IF((C28="Haiti")*ISNUMBER(D28),D28,0)+IF((G28="Haiti")*ISNUMBER(D28),F28,0)</f>
        <v>3</v>
      </c>
      <c r="AC25">
        <f>IF((C23="Haiti")*ISNUMBER(D23),F23,0)+IF((G23="Haiti")*ISNUMBER(D23),D23,0)+IF((C24="Haiti")*ISNUMBER(D24),F24,0)+IF((G24="Haiti")*ISNUMBER(D24),D24,0)+IF((C25="Haiti")*ISNUMBER(D25),F25,0)+IF((G25="Haiti")*ISNUMBER(D25),D25,0)+IF((C26="Haiti")*ISNUMBER(D26),F26,0)+IF((G26="Haiti")*ISNUMBER(D26),D26,0)+IF((C27="Haiti")*ISNUMBER(D27),F27,0)+IF((G27="Haiti")*ISNUMBER(D27),D27,0)+IF((C28="Haiti")*ISNUMBER(D28),F28,0)+IF((G28="Haiti")*ISNUMBER(D28),D28,0)</f>
        <v>8</v>
      </c>
      <c r="AD25">
        <f>AB25-AC25</f>
        <v>-5</v>
      </c>
      <c r="AE25">
        <f>3*Y25+Z25</f>
        <v>3</v>
      </c>
      <c r="AF25">
        <f>1+((AE23&gt;AE25)+(AE23=AE25)*(AD23&gt;AD25)+(AE23=AE25)*(AD23=AD25)*(AB23&gt;AB25)&gt;0)*1+((AE24&gt;AE25)+(AE24=AE25)*(AD24&gt;AD25)+(AE24=AE25)*(AD24=AD25)*(AB24&gt;AB25)&gt;0)*1+((AE26&gt;AE25)+(AE26=AE25)*(AD26&gt;AD25)+(AE26=AE25)*(AD26=AD25)*(AB26&gt;AB25)&gt;0)*1</f>
        <v>3</v>
      </c>
    </row>
    <row r="26" spans="1:32" ht="16.5" customHeight="1" x14ac:dyDescent="0.3">
      <c r="A26" s="7">
        <v>16</v>
      </c>
      <c r="B26" s="7" t="s">
        <v>65</v>
      </c>
      <c r="C26" s="8" t="s">
        <v>66</v>
      </c>
      <c r="D26" s="5">
        <v>4</v>
      </c>
      <c r="E26" s="7" t="s">
        <v>29</v>
      </c>
      <c r="F26" s="5">
        <v>1</v>
      </c>
      <c r="G26" s="8" t="s">
        <v>70</v>
      </c>
      <c r="H26" s="7" t="s">
        <v>73</v>
      </c>
      <c r="I26" s="7" t="s">
        <v>45</v>
      </c>
      <c r="J26" s="8" t="s">
        <v>74</v>
      </c>
      <c r="K26" s="9" t="s">
        <v>40</v>
      </c>
      <c r="M26" s="4" t="str">
        <f>IF(AND(ISNUMBER(D23),ISNUMBER(D24),ISNUMBER(D25),ISNUMBER(D26),ISNUMBER(D27),ISNUMBER(D28)),IF(AF23=4,W23,IF(AF24=4,W24,IF(AF25=4,W25,IF(AF26=4,W26,"")))),"")</f>
        <v>Skottland</v>
      </c>
      <c r="N26" s="3">
        <f>IF(AND(ISNUMBER(D23),ISNUMBER(D24),ISNUMBER(D25),ISNUMBER(D26),ISNUMBER(D27),ISNUMBER(D28)),IF(AF23=4,X23,IF(AF24=4,X24,IF(AF25=4,X25,IF(AF26=4,X26,"")))),"")</f>
        <v>3</v>
      </c>
      <c r="O26" s="3">
        <f>IF(AND(ISNUMBER(D23),ISNUMBER(D24),ISNUMBER(D25),ISNUMBER(D26),ISNUMBER(D27),ISNUMBER(D28)),IF(AF23=4,Y23,IF(AF24=4,Y24,IF(AF25=4,Y25,IF(AF26=4,Y26,"")))),"")</f>
        <v>0</v>
      </c>
      <c r="P26" s="3">
        <f>IF(AND(ISNUMBER(D23),ISNUMBER(D24),ISNUMBER(D25),ISNUMBER(D26),ISNUMBER(D27),ISNUMBER(D28)),IF(AF23=4,Z23,IF(AF24=4,Z24,IF(AF25=4,Z25,IF(AF26=4,Z26,"")))),"")</f>
        <v>0</v>
      </c>
      <c r="Q26" s="3">
        <f>IF(AND(ISNUMBER(D23),ISNUMBER(D24),ISNUMBER(D25),ISNUMBER(D26),ISNUMBER(D27),ISNUMBER(D28)),IF(AF23=4,AA23,IF(AF24=4,AA24,IF(AF25=4,AA25,IF(AF26=4,AA26,"")))),"")</f>
        <v>3</v>
      </c>
      <c r="R26" s="3">
        <f>IF(AND(ISNUMBER(D23),ISNUMBER(D24),ISNUMBER(D25),ISNUMBER(D26),ISNUMBER(D27),ISNUMBER(D28)),IF(AF23=4,AB23,IF(AF24=4,AB24,IF(AF25=4,AB25,IF(AF26=4,AB26,"")))),"")</f>
        <v>1</v>
      </c>
      <c r="S26" s="3">
        <f>IF(AND(ISNUMBER(D23),ISNUMBER(D24),ISNUMBER(D25),ISNUMBER(D26),ISNUMBER(D27),ISNUMBER(D28)),IF(AF23=4,AC23,IF(AF24=4,AC24,IF(AF25=4,AC25,IF(AF26=4,AC26,"")))),"")</f>
        <v>6</v>
      </c>
      <c r="T26" s="3">
        <f>IF(AND(ISNUMBER(D23),ISNUMBER(D24),ISNUMBER(D25),ISNUMBER(D26),ISNUMBER(D27),ISNUMBER(D28)),IF(AF23=4,AD23,IF(AF24=4,AD24,IF(AF25=4,AD25,IF(AF26=4,AD26,"")))),"")</f>
        <v>-5</v>
      </c>
      <c r="U26" s="3">
        <f>IF(AND(ISNUMBER(D23),ISNUMBER(D24),ISNUMBER(D25),ISNUMBER(D26),ISNUMBER(D27),ISNUMBER(D28)),IF(AF23=4,AE23,IF(AF24=4,AE24,IF(AF25=4,AE25,IF(AF26=4,AE26,"")))),"")</f>
        <v>0</v>
      </c>
      <c r="W26" t="s">
        <v>71</v>
      </c>
      <c r="X26">
        <f>((C23="Skottland")*ISNUMBER(D23))+((G23="Skottland")*ISNUMBER(D23))+((C24="Skottland")*ISNUMBER(D24))+((G24="Skottland")*ISNUMBER(D24))+((C25="Skottland")*ISNUMBER(D25))+((G25="Skottland")*ISNUMBER(D25))+((C26="Skottland")*ISNUMBER(D26))+((G26="Skottland")*ISNUMBER(D26))+((C27="Skottland")*ISNUMBER(D27))+((G27="Skottland")*ISNUMBER(D27))+((C28="Skottland")*ISNUMBER(D28))+((G28="Skottland")*ISNUMBER(D28))</f>
        <v>3</v>
      </c>
      <c r="Y26">
        <f>((C23="Skottland")*ISNUMBER(D23)*(D23&gt;F23))+((G23="Skottland")*ISNUMBER(D23)*(F23&gt;D23))+((C24="Skottland")*ISNUMBER(D24)*(D24&gt;F24))+((G24="Skottland")*ISNUMBER(D24)*(F24&gt;D24))+((C25="Skottland")*ISNUMBER(D25)*(D25&gt;F25))+((G25="Skottland")*ISNUMBER(D25)*(F25&gt;D25))+((C26="Skottland")*ISNUMBER(D26)*(D26&gt;F26))+((G26="Skottland")*ISNUMBER(D26)*(F26&gt;D26))+((C27="Skottland")*ISNUMBER(D27)*(D27&gt;F27))+((G27="Skottland")*ISNUMBER(D27)*(F27&gt;D27))+((C28="Skottland")*ISNUMBER(D28)*(D28&gt;F28))+((G28="Skottland")*ISNUMBER(D28)*(F28&gt;D28))</f>
        <v>0</v>
      </c>
      <c r="Z26">
        <f>((C23="Skottland")*ISNUMBER(D23)*(D23=F23))+((G23="Skottland")*ISNUMBER(D23)*(F23=D23))+((C24="Skottland")*ISNUMBER(D24)*(D24=F24))+((G24="Skottland")*ISNUMBER(D24)*(F24=D24))+((C25="Skottland")*ISNUMBER(D25)*(D25=F25))+((G25="Skottland")*ISNUMBER(D25)*(F25=D25))+((C26="Skottland")*ISNUMBER(D26)*(D26=F26))+((G26="Skottland")*ISNUMBER(D26)*(F26=D26))+((C27="Skottland")*ISNUMBER(D27)*(D27=F27))+((G27="Skottland")*ISNUMBER(D27)*(F27=D27))+((C28="Skottland")*ISNUMBER(D28)*(D28=F28))+((G28="Skottland")*ISNUMBER(D28)*(F28=D28))</f>
        <v>0</v>
      </c>
      <c r="AA26">
        <f>((C23="Skottland")*ISNUMBER(D23)*(D23&lt;F23))+((G23="Skottland")*ISNUMBER(D23)*(F23&lt;D23))+((C24="Skottland")*ISNUMBER(D24)*(D24&lt;F24))+((G24="Skottland")*ISNUMBER(D24)*(F24&lt;D24))+((C25="Skottland")*ISNUMBER(D25)*(D25&lt;F25))+((G25="Skottland")*ISNUMBER(D25)*(F25&lt;D25))+((C26="Skottland")*ISNUMBER(D26)*(D26&lt;F26))+((G26="Skottland")*ISNUMBER(D26)*(F26&lt;D26))+((C27="Skottland")*ISNUMBER(D27)*(D27&lt;F27))+((G27="Skottland")*ISNUMBER(D27)*(F27&lt;D27))+((C28="Skottland")*ISNUMBER(D28)*(D28&lt;F28))+((G28="Skottland")*ISNUMBER(D28)*(F28&lt;D28))</f>
        <v>3</v>
      </c>
      <c r="AB26">
        <f>IF((C23="Skottland")*ISNUMBER(D23),D23,0)+IF((G23="Skottland")*ISNUMBER(D23),F23,0)+IF((C24="Skottland")*ISNUMBER(D24),D24,0)+IF((G24="Skottland")*ISNUMBER(D24),F24,0)+IF((C25="Skottland")*ISNUMBER(D25),D25,0)+IF((G25="Skottland")*ISNUMBER(D25),F25,0)+IF((C26="Skottland")*ISNUMBER(D26),D26,0)+IF((G26="Skottland")*ISNUMBER(D26),F26,0)+IF((C27="Skottland")*ISNUMBER(D27),D27,0)+IF((G27="Skottland")*ISNUMBER(D27),F27,0)+IF((C28="Skottland")*ISNUMBER(D28),D28,0)+IF((G28="Skottland")*ISNUMBER(D28),F28,0)</f>
        <v>1</v>
      </c>
      <c r="AC26">
        <f>IF((C23="Skottland")*ISNUMBER(D23),F23,0)+IF((G23="Skottland")*ISNUMBER(D23),D23,0)+IF((C24="Skottland")*ISNUMBER(D24),F24,0)+IF((G24="Skottland")*ISNUMBER(D24),D24,0)+IF((C25="Skottland")*ISNUMBER(D25),F25,0)+IF((G25="Skottland")*ISNUMBER(D25),D25,0)+IF((C26="Skottland")*ISNUMBER(D26),F26,0)+IF((G26="Skottland")*ISNUMBER(D26),D26,0)+IF((C27="Skottland")*ISNUMBER(D27),F27,0)+IF((G27="Skottland")*ISNUMBER(D27),D27,0)+IF((C28="Skottland")*ISNUMBER(D28),F28,0)+IF((G28="Skottland")*ISNUMBER(D28),D28,0)</f>
        <v>6</v>
      </c>
      <c r="AD26">
        <f>AB26-AC26</f>
        <v>-5</v>
      </c>
      <c r="AE26">
        <f>3*Y26+Z26</f>
        <v>0</v>
      </c>
      <c r="AF26">
        <f>1+((AE23&gt;AE26)+(AE23=AE26)*(AD23&gt;AD26)+(AE23=AE26)*(AD23=AD26)*(AB23&gt;AB26)&gt;0)*1+((AE24&gt;AE26)+(AE24=AE26)*(AD24&gt;AD26)+(AE24=AE26)*(AD24=AD26)*(AB24&gt;AB26)&gt;0)*1+((AE25&gt;AE26)+(AE25=AE26)*(AD25&gt;AD26)+(AE25=AE26)*(AD25=AD26)*(AB25&gt;AB26)&gt;0)*1</f>
        <v>4</v>
      </c>
    </row>
    <row r="27" spans="1:32" ht="16.5" customHeight="1" x14ac:dyDescent="0.3">
      <c r="A27" s="3">
        <v>17</v>
      </c>
      <c r="B27" s="3" t="s">
        <v>65</v>
      </c>
      <c r="C27" s="4" t="s">
        <v>71</v>
      </c>
      <c r="D27" s="5">
        <v>1</v>
      </c>
      <c r="E27" s="3" t="s">
        <v>29</v>
      </c>
      <c r="F27" s="5">
        <v>2</v>
      </c>
      <c r="G27" s="4" t="s">
        <v>66</v>
      </c>
      <c r="H27" s="3" t="s">
        <v>46</v>
      </c>
      <c r="I27" s="3" t="s">
        <v>59</v>
      </c>
      <c r="J27" s="4" t="s">
        <v>75</v>
      </c>
      <c r="K27" s="9" t="s">
        <v>40</v>
      </c>
    </row>
    <row r="28" spans="1:32" ht="16.5" customHeight="1" x14ac:dyDescent="0.3">
      <c r="A28" s="7">
        <v>18</v>
      </c>
      <c r="B28" s="7" t="s">
        <v>65</v>
      </c>
      <c r="C28" s="8" t="s">
        <v>67</v>
      </c>
      <c r="D28" s="5">
        <v>4</v>
      </c>
      <c r="E28" s="7" t="s">
        <v>29</v>
      </c>
      <c r="F28" s="5">
        <v>1</v>
      </c>
      <c r="G28" s="8" t="s">
        <v>70</v>
      </c>
      <c r="H28" s="7" t="s">
        <v>46</v>
      </c>
      <c r="I28" s="7" t="s">
        <v>59</v>
      </c>
      <c r="J28" s="8" t="s">
        <v>43</v>
      </c>
      <c r="K28" s="9" t="s">
        <v>40</v>
      </c>
    </row>
    <row r="29" spans="1:32" ht="18.75" customHeight="1" x14ac:dyDescent="0.3">
      <c r="A29" s="56" t="s">
        <v>76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M29" s="57" t="s">
        <v>77</v>
      </c>
      <c r="N29" s="57"/>
      <c r="O29" s="57"/>
      <c r="P29" s="57"/>
      <c r="Q29" s="57"/>
      <c r="R29" s="57"/>
      <c r="S29" s="57"/>
      <c r="T29" s="57"/>
      <c r="U29" s="57"/>
    </row>
    <row r="30" spans="1:32" ht="15.75" customHeight="1" x14ac:dyDescent="0.3">
      <c r="A30" s="1" t="s">
        <v>8</v>
      </c>
      <c r="B30" s="1" t="s">
        <v>9</v>
      </c>
      <c r="C30" s="1" t="s">
        <v>10</v>
      </c>
      <c r="D30" s="1" t="s">
        <v>11</v>
      </c>
      <c r="E30" s="1"/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17</v>
      </c>
      <c r="M30" s="2" t="s">
        <v>18</v>
      </c>
      <c r="N30" s="2" t="s">
        <v>19</v>
      </c>
      <c r="O30" s="2" t="s">
        <v>20</v>
      </c>
      <c r="P30" s="2" t="s">
        <v>21</v>
      </c>
      <c r="Q30" s="2" t="s">
        <v>22</v>
      </c>
      <c r="R30" s="2" t="s">
        <v>23</v>
      </c>
      <c r="S30" s="2" t="s">
        <v>24</v>
      </c>
      <c r="T30" s="2" t="s">
        <v>25</v>
      </c>
      <c r="U30" s="2" t="s">
        <v>26</v>
      </c>
    </row>
    <row r="31" spans="1:32" ht="16.5" customHeight="1" x14ac:dyDescent="0.3">
      <c r="A31" s="3">
        <v>19</v>
      </c>
      <c r="B31" s="3" t="s">
        <v>78</v>
      </c>
      <c r="C31" s="4" t="s">
        <v>79</v>
      </c>
      <c r="D31" s="5">
        <v>2</v>
      </c>
      <c r="E31" s="3" t="s">
        <v>29</v>
      </c>
      <c r="F31" s="5">
        <v>1</v>
      </c>
      <c r="G31" s="4" t="s">
        <v>80</v>
      </c>
      <c r="H31" s="3" t="s">
        <v>56</v>
      </c>
      <c r="I31" s="3" t="s">
        <v>45</v>
      </c>
      <c r="J31" s="4" t="s">
        <v>58</v>
      </c>
      <c r="K31" s="6" t="s">
        <v>34</v>
      </c>
      <c r="M31" s="4" t="str">
        <f>IF(AND(ISNUMBER(D31),ISNUMBER(D32),ISNUMBER(D33),ISNUMBER(D34),ISNUMBER(D35),ISNUMBER(D36)),IF(AF31=1,W31,IF(AF32=1,W32,IF(AF33=1,W33,IF(AF34=1,W34,"")))),"")</f>
        <v>Tyrkia</v>
      </c>
      <c r="N31" s="3">
        <f>IF(AND(ISNUMBER(D31),ISNUMBER(D32),ISNUMBER(D33),ISNUMBER(D34),ISNUMBER(D35),ISNUMBER(D36)),IF(AF31=1,X31,IF(AF32=1,X32,IF(AF33=1,X33,IF(AF34=1,X34,"")))),"")</f>
        <v>3</v>
      </c>
      <c r="O31" s="3">
        <f>IF(AND(ISNUMBER(D31),ISNUMBER(D32),ISNUMBER(D33),ISNUMBER(D34),ISNUMBER(D35),ISNUMBER(D36)),IF(AF31=1,Y31,IF(AF32=1,Y32,IF(AF33=1,Y33,IF(AF34=1,Y34,"")))),"")</f>
        <v>3</v>
      </c>
      <c r="P31" s="3">
        <f>IF(AND(ISNUMBER(D31),ISNUMBER(D32),ISNUMBER(D33),ISNUMBER(D34),ISNUMBER(D35),ISNUMBER(D36)),IF(AF31=1,Z31,IF(AF32=1,Z32,IF(AF33=1,Z33,IF(AF34=1,Z34,"")))),"")</f>
        <v>0</v>
      </c>
      <c r="Q31" s="3">
        <f>IF(AND(ISNUMBER(D31),ISNUMBER(D32),ISNUMBER(D33),ISNUMBER(D34),ISNUMBER(D35),ISNUMBER(D36)),IF(AF31=1,AA31,IF(AF32=1,AA32,IF(AF33=1,AA33,IF(AF34=1,AA34,"")))),"")</f>
        <v>0</v>
      </c>
      <c r="R31" s="3">
        <f>IF(AND(ISNUMBER(D31),ISNUMBER(D32),ISNUMBER(D33),ISNUMBER(D34),ISNUMBER(D35),ISNUMBER(D36)),IF(AF31=1,AB31,IF(AF32=1,AB32,IF(AF33=1,AB33,IF(AF34=1,AB34,"")))),"")</f>
        <v>5</v>
      </c>
      <c r="S31" s="3">
        <f>IF(AND(ISNUMBER(D31),ISNUMBER(D32),ISNUMBER(D33),ISNUMBER(D34),ISNUMBER(D35),ISNUMBER(D36)),IF(AF31=1,AC31,IF(AF32=1,AC32,IF(AF33=1,AC33,IF(AF34=1,AC34,"")))),"")</f>
        <v>0</v>
      </c>
      <c r="T31" s="3">
        <f>IF(AND(ISNUMBER(D31),ISNUMBER(D32),ISNUMBER(D33),ISNUMBER(D34),ISNUMBER(D35),ISNUMBER(D36)),IF(AF31=1,AD31,IF(AF32=1,AD32,IF(AF33=1,AD33,IF(AF34=1,AD34,"")))),"")</f>
        <v>5</v>
      </c>
      <c r="U31" s="3">
        <f>IF(AND(ISNUMBER(D31),ISNUMBER(D32),ISNUMBER(D33),ISNUMBER(D34),ISNUMBER(D35),ISNUMBER(D36)),IF(AF31=1,AE31,IF(AF32=1,AE32,IF(AF33=1,AE33,IF(AF34=1,AE34,"")))),"")</f>
        <v>9</v>
      </c>
      <c r="W31" t="s">
        <v>79</v>
      </c>
      <c r="X31">
        <f>((C31="USA")*ISNUMBER(D31))+((G31="USA")*ISNUMBER(D31))+((C32="USA")*ISNUMBER(D32))+((G32="USA")*ISNUMBER(D32))+((C33="USA")*ISNUMBER(D33))+((G33="USA")*ISNUMBER(D33))+((C34="USA")*ISNUMBER(D34))+((G34="USA")*ISNUMBER(D34))+((C35="USA")*ISNUMBER(D35))+((G35="USA")*ISNUMBER(D35))+((C36="USA")*ISNUMBER(D36))+((G36="USA")*ISNUMBER(D36))</f>
        <v>3</v>
      </c>
      <c r="Y31">
        <f>((C31="USA")*ISNUMBER(D31)*(D31&gt;F31))+((G31="USA")*ISNUMBER(D31)*(F31&gt;D31))+((C32="USA")*ISNUMBER(D32)*(D32&gt;F32))+((G32="USA")*ISNUMBER(D32)*(F32&gt;D32))+((C33="USA")*ISNUMBER(D33)*(D33&gt;F33))+((G33="USA")*ISNUMBER(D33)*(F33&gt;D33))+((C34="USA")*ISNUMBER(D34)*(D34&gt;F34))+((G34="USA")*ISNUMBER(D34)*(F34&gt;D34))+((C35="USA")*ISNUMBER(D35)*(D35&gt;F35))+((G35="USA")*ISNUMBER(D35)*(F35&gt;D35))+((C36="USA")*ISNUMBER(D36)*(D36&gt;F36))+((G36="USA")*ISNUMBER(D36)*(F36&gt;D36))</f>
        <v>1</v>
      </c>
      <c r="Z31">
        <f>((C31="USA")*ISNUMBER(D31)*(D31=F31))+((G31="USA")*ISNUMBER(D31)*(F31=D31))+((C32="USA")*ISNUMBER(D32)*(D32=F32))+((G32="USA")*ISNUMBER(D32)*(F32=D32))+((C33="USA")*ISNUMBER(D33)*(D33=F33))+((G33="USA")*ISNUMBER(D33)*(F33=D33))+((C34="USA")*ISNUMBER(D34)*(D34=F34))+((G34="USA")*ISNUMBER(D34)*(F34=D34))+((C35="USA")*ISNUMBER(D35)*(D35=F35))+((G35="USA")*ISNUMBER(D35)*(F35=D35))+((C36="USA")*ISNUMBER(D36)*(D36=F36))+((G36="USA")*ISNUMBER(D36)*(F36=D36))</f>
        <v>1</v>
      </c>
      <c r="AA31">
        <f>((C31="USA")*ISNUMBER(D31)*(D31&lt;F31))+((G31="USA")*ISNUMBER(D31)*(F31&lt;D31))+((C32="USA")*ISNUMBER(D32)*(D32&lt;F32))+((G32="USA")*ISNUMBER(D32)*(F32&lt;D32))+((C33="USA")*ISNUMBER(D33)*(D33&lt;F33))+((G33="USA")*ISNUMBER(D33)*(F33&lt;D33))+((C34="USA")*ISNUMBER(D34)*(D34&lt;F34))+((G34="USA")*ISNUMBER(D34)*(F34&lt;D34))+((C35="USA")*ISNUMBER(D35)*(D35&lt;F35))+((G35="USA")*ISNUMBER(D35)*(F35&lt;D35))+((C36="USA")*ISNUMBER(D36)*(D36&lt;F36))+((G36="USA")*ISNUMBER(D36)*(F36&lt;D36))</f>
        <v>1</v>
      </c>
      <c r="AB31">
        <f>IF((C31="USA")*ISNUMBER(D31),D31,0)+IF((G31="USA")*ISNUMBER(D31),F31,0)+IF((C32="USA")*ISNUMBER(D32),D32,0)+IF((G32="USA")*ISNUMBER(D32),F32,0)+IF((C33="USA")*ISNUMBER(D33),D33,0)+IF((G33="USA")*ISNUMBER(D33),F33,0)+IF((C34="USA")*ISNUMBER(D34),D34,0)+IF((G34="USA")*ISNUMBER(D34),F34,0)+IF((C35="USA")*ISNUMBER(D35),D35,0)+IF((G35="USA")*ISNUMBER(D35),F35,0)+IF((C36="USA")*ISNUMBER(D36),D36,0)+IF((G36="USA")*ISNUMBER(D36),F36,0)</f>
        <v>4</v>
      </c>
      <c r="AC31">
        <f>IF((C31="USA")*ISNUMBER(D31),F31,0)+IF((G31="USA")*ISNUMBER(D31),D31,0)+IF((C32="USA")*ISNUMBER(D32),F32,0)+IF((G32="USA")*ISNUMBER(D32),D32,0)+IF((C33="USA")*ISNUMBER(D33),F33,0)+IF((G33="USA")*ISNUMBER(D33),D33,0)+IF((C34="USA")*ISNUMBER(D34),F34,0)+IF((G34="USA")*ISNUMBER(D34),D34,0)+IF((C35="USA")*ISNUMBER(D35),F35,0)+IF((G35="USA")*ISNUMBER(D35),D35,0)+IF((C36="USA")*ISNUMBER(D36),F36,0)+IF((G36="USA")*ISNUMBER(D36),D36,0)</f>
        <v>4</v>
      </c>
      <c r="AD31">
        <f>AB31-AC31</f>
        <v>0</v>
      </c>
      <c r="AE31">
        <f>3*Y31+Z31</f>
        <v>4</v>
      </c>
      <c r="AF31">
        <f>1+((AE32&gt;AE31)+(AE32=AE31)*(AD32&gt;AD31)+(AE32=AE31)*(AD32=AD31)*(AB32&gt;AB31)&gt;0)*1+((AE33&gt;AE31)+(AE33=AE31)*(AD33&gt;AD31)+(AE33=AE31)*(AD33=AD31)*(AB33&gt;AB31)&gt;0)*1+((AE34&gt;AE31)+(AE34=AE31)*(AD34&gt;AD31)+(AE34=AE31)*(AD34=AD31)*(AB34&gt;AB31)&gt;0)*1</f>
        <v>2</v>
      </c>
    </row>
    <row r="32" spans="1:32" ht="16.5" customHeight="1" x14ac:dyDescent="0.3">
      <c r="A32" s="7">
        <v>20</v>
      </c>
      <c r="B32" s="7" t="s">
        <v>78</v>
      </c>
      <c r="C32" s="8" t="s">
        <v>81</v>
      </c>
      <c r="D32" s="5">
        <v>0</v>
      </c>
      <c r="E32" s="7" t="s">
        <v>29</v>
      </c>
      <c r="F32" s="5">
        <v>1</v>
      </c>
      <c r="G32" s="8" t="s">
        <v>82</v>
      </c>
      <c r="H32" s="7" t="s">
        <v>68</v>
      </c>
      <c r="I32" s="7" t="s">
        <v>83</v>
      </c>
      <c r="J32" s="8" t="s">
        <v>60</v>
      </c>
      <c r="K32" s="6" t="s">
        <v>34</v>
      </c>
      <c r="M32" s="4" t="str">
        <f>IF(AND(ISNUMBER(D31),ISNUMBER(D32),ISNUMBER(D33),ISNUMBER(D34),ISNUMBER(D35),ISNUMBER(D36)),IF(AF31=2,W31,IF(AF32=2,W32,IF(AF33=2,W33,IF(AF34=2,W34,"")))),"")</f>
        <v>USA</v>
      </c>
      <c r="N32" s="3">
        <f>IF(AND(ISNUMBER(D31),ISNUMBER(D32),ISNUMBER(D33),ISNUMBER(D34),ISNUMBER(D35),ISNUMBER(D36)),IF(AF31=2,X31,IF(AF32=2,X32,IF(AF33=2,X33,IF(AF34=2,X34,"")))),"")</f>
        <v>3</v>
      </c>
      <c r="O32" s="3">
        <f>IF(AND(ISNUMBER(D31),ISNUMBER(D32),ISNUMBER(D33),ISNUMBER(D34),ISNUMBER(D35),ISNUMBER(D36)),IF(AF31=2,Y31,IF(AF32=2,Y32,IF(AF33=2,Y33,IF(AF34=2,Y34,"")))),"")</f>
        <v>1</v>
      </c>
      <c r="P32" s="3">
        <f>IF(AND(ISNUMBER(D31),ISNUMBER(D32),ISNUMBER(D33),ISNUMBER(D34),ISNUMBER(D35),ISNUMBER(D36)),IF(AF31=2,Z31,IF(AF32=2,Z32,IF(AF33=2,Z33,IF(AF34=2,Z34,"")))),"")</f>
        <v>1</v>
      </c>
      <c r="Q32" s="3">
        <f>IF(AND(ISNUMBER(D31),ISNUMBER(D32),ISNUMBER(D33),ISNUMBER(D34),ISNUMBER(D35),ISNUMBER(D36)),IF(AF31=2,AA31,IF(AF32=2,AA32,IF(AF33=2,AA33,IF(AF34=2,AA34,"")))),"")</f>
        <v>1</v>
      </c>
      <c r="R32" s="3">
        <f>IF(AND(ISNUMBER(D31),ISNUMBER(D32),ISNUMBER(D33),ISNUMBER(D34),ISNUMBER(D35),ISNUMBER(D36)),IF(AF31=2,AB31,IF(AF32=2,AB32,IF(AF33=2,AB33,IF(AF34=2,AB34,"")))),"")</f>
        <v>4</v>
      </c>
      <c r="S32" s="3">
        <f>IF(AND(ISNUMBER(D31),ISNUMBER(D32),ISNUMBER(D33),ISNUMBER(D34),ISNUMBER(D35),ISNUMBER(D36)),IF(AF31=2,AC31,IF(AF32=2,AC32,IF(AF33=2,AC33,IF(AF34=2,AC34,"")))),"")</f>
        <v>4</v>
      </c>
      <c r="T32" s="3">
        <f>IF(AND(ISNUMBER(D31),ISNUMBER(D32),ISNUMBER(D33),ISNUMBER(D34),ISNUMBER(D35),ISNUMBER(D36)),IF(AF31=2,AD31,IF(AF32=2,AD32,IF(AF33=2,AD33,IF(AF34=2,AD34,"")))),"")</f>
        <v>0</v>
      </c>
      <c r="U32" s="3">
        <f>IF(AND(ISNUMBER(D31),ISNUMBER(D32),ISNUMBER(D33),ISNUMBER(D34),ISNUMBER(D35),ISNUMBER(D36)),IF(AF31=2,AE31,IF(AF32=2,AE32,IF(AF33=2,AE33,IF(AF34=2,AE34,"")))),"")</f>
        <v>4</v>
      </c>
      <c r="W32" t="s">
        <v>80</v>
      </c>
      <c r="X32">
        <f>((C31="Paraguay")*ISNUMBER(D31))+((G31="Paraguay")*ISNUMBER(D31))+((C32="Paraguay")*ISNUMBER(D32))+((G32="Paraguay")*ISNUMBER(D32))+((C33="Paraguay")*ISNUMBER(D33))+((G33="Paraguay")*ISNUMBER(D33))+((C34="Paraguay")*ISNUMBER(D34))+((G34="Paraguay")*ISNUMBER(D34))+((C35="Paraguay")*ISNUMBER(D35))+((G35="Paraguay")*ISNUMBER(D35))+((C36="Paraguay")*ISNUMBER(D36))+((G36="Paraguay")*ISNUMBER(D36))</f>
        <v>3</v>
      </c>
      <c r="Y32">
        <f>((C31="Paraguay")*ISNUMBER(D31)*(D31&gt;F31))+((G31="Paraguay")*ISNUMBER(D31)*(F31&gt;D31))+((C32="Paraguay")*ISNUMBER(D32)*(D32&gt;F32))+((G32="Paraguay")*ISNUMBER(D32)*(F32&gt;D32))+((C33="Paraguay")*ISNUMBER(D33)*(D33&gt;F33))+((G33="Paraguay")*ISNUMBER(D33)*(F33&gt;D33))+((C34="Paraguay")*ISNUMBER(D34)*(D34&gt;F34))+((G34="Paraguay")*ISNUMBER(D34)*(F34&gt;D34))+((C35="Paraguay")*ISNUMBER(D35)*(D35&gt;F35))+((G35="Paraguay")*ISNUMBER(D35)*(F35&gt;D35))+((C36="Paraguay")*ISNUMBER(D36)*(D36&gt;F36))+((G36="Paraguay")*ISNUMBER(D36)*(F36&gt;D36))</f>
        <v>0</v>
      </c>
      <c r="Z32">
        <f>((C31="Paraguay")*ISNUMBER(D31)*(D31=F31))+((G31="Paraguay")*ISNUMBER(D31)*(F31=D31))+((C32="Paraguay")*ISNUMBER(D32)*(D32=F32))+((G32="Paraguay")*ISNUMBER(D32)*(F32=D32))+((C33="Paraguay")*ISNUMBER(D33)*(D33=F33))+((G33="Paraguay")*ISNUMBER(D33)*(F33=D33))+((C34="Paraguay")*ISNUMBER(D34)*(D34=F34))+((G34="Paraguay")*ISNUMBER(D34)*(F34=D34))+((C35="Paraguay")*ISNUMBER(D35)*(D35=F35))+((G35="Paraguay")*ISNUMBER(D35)*(F35=D35))+((C36="Paraguay")*ISNUMBER(D36)*(D36=F36))+((G36="Paraguay")*ISNUMBER(D36)*(F36=D36))</f>
        <v>1</v>
      </c>
      <c r="AA32">
        <f>((C31="Paraguay")*ISNUMBER(D31)*(D31&lt;F31))+((G31="Paraguay")*ISNUMBER(D31)*(F31&lt;D31))+((C32="Paraguay")*ISNUMBER(D32)*(D32&lt;F32))+((G32="Paraguay")*ISNUMBER(D32)*(F32&lt;D32))+((C33="Paraguay")*ISNUMBER(D33)*(D33&lt;F33))+((G33="Paraguay")*ISNUMBER(D33)*(F33&lt;D33))+((C34="Paraguay")*ISNUMBER(D34)*(D34&lt;F34))+((G34="Paraguay")*ISNUMBER(D34)*(F34&lt;D34))+((C35="Paraguay")*ISNUMBER(D35)*(D35&lt;F35))+((G35="Paraguay")*ISNUMBER(D35)*(F35&lt;D35))+((C36="Paraguay")*ISNUMBER(D36)*(D36&lt;F36))+((G36="Paraguay")*ISNUMBER(D36)*(F36&lt;D36))</f>
        <v>2</v>
      </c>
      <c r="AB32">
        <f>IF((C31="Paraguay")*ISNUMBER(D31),D31,0)+IF((G31="Paraguay")*ISNUMBER(D31),F31,0)+IF((C32="Paraguay")*ISNUMBER(D32),D32,0)+IF((G32="Paraguay")*ISNUMBER(D32),F32,0)+IF((C33="Paraguay")*ISNUMBER(D33),D33,0)+IF((G33="Paraguay")*ISNUMBER(D33),F33,0)+IF((C34="Paraguay")*ISNUMBER(D34),D34,0)+IF((G34="Paraguay")*ISNUMBER(D34),F34,0)+IF((C35="Paraguay")*ISNUMBER(D35),D35,0)+IF((G35="Paraguay")*ISNUMBER(D35),F35,0)+IF((C36="Paraguay")*ISNUMBER(D36),D36,0)+IF((G36="Paraguay")*ISNUMBER(D36),F36,0)</f>
        <v>2</v>
      </c>
      <c r="AC32">
        <f>IF((C31="Paraguay")*ISNUMBER(D31),F31,0)+IF((G31="Paraguay")*ISNUMBER(D31),D31,0)+IF((C32="Paraguay")*ISNUMBER(D32),F32,0)+IF((G32="Paraguay")*ISNUMBER(D32),D32,0)+IF((C33="Paraguay")*ISNUMBER(D33),F33,0)+IF((G33="Paraguay")*ISNUMBER(D33),D33,0)+IF((C34="Paraguay")*ISNUMBER(D34),F34,0)+IF((G34="Paraguay")*ISNUMBER(D34),D34,0)+IF((C35="Paraguay")*ISNUMBER(D35),F35,0)+IF((G35="Paraguay")*ISNUMBER(D35),D35,0)+IF((C36="Paraguay")*ISNUMBER(D36),F36,0)+IF((G36="Paraguay")*ISNUMBER(D36),D36,0)</f>
        <v>6</v>
      </c>
      <c r="AD32">
        <f>AB32-AC32</f>
        <v>-4</v>
      </c>
      <c r="AE32">
        <f>3*Y32+Z32</f>
        <v>1</v>
      </c>
      <c r="AF32">
        <f>1+((AE31&gt;AE32)+(AE31=AE32)*(AD31&gt;AD32)+(AE31=AE32)*(AD31=AD32)*(AB31&gt;AB32)&gt;0)*1+((AE33&gt;AE32)+(AE33=AE32)*(AD33&gt;AD32)+(AE33=AE32)*(AD33=AD32)*(AB33&gt;AB32)&gt;0)*1+((AE34&gt;AE32)+(AE34=AE32)*(AD34&gt;AD32)+(AE34=AE32)*(AD34=AD32)*(AB34&gt;AB32)&gt;0)*1</f>
        <v>4</v>
      </c>
    </row>
    <row r="33" spans="1:32" ht="16.5" customHeight="1" x14ac:dyDescent="0.3">
      <c r="A33" s="3">
        <v>21</v>
      </c>
      <c r="B33" s="3" t="s">
        <v>78</v>
      </c>
      <c r="C33" s="4" t="s">
        <v>79</v>
      </c>
      <c r="D33" s="5">
        <v>2</v>
      </c>
      <c r="E33" s="3" t="s">
        <v>29</v>
      </c>
      <c r="F33" s="5">
        <v>2</v>
      </c>
      <c r="G33" s="4" t="s">
        <v>81</v>
      </c>
      <c r="H33" s="3" t="s">
        <v>44</v>
      </c>
      <c r="I33" s="3" t="s">
        <v>32</v>
      </c>
      <c r="J33" s="4" t="s">
        <v>62</v>
      </c>
      <c r="K33" s="9" t="s">
        <v>40</v>
      </c>
      <c r="M33" s="4" t="str">
        <f>IF(AND(ISNUMBER(D31),ISNUMBER(D32),ISNUMBER(D33),ISNUMBER(D34),ISNUMBER(D35),ISNUMBER(D36)),IF(AF31=3,W31,IF(AF32=3,W32,IF(AF33=3,W33,IF(AF34=3,W34,"")))),"")</f>
        <v>Australia</v>
      </c>
      <c r="N33" s="3">
        <f>IF(AND(ISNUMBER(D31),ISNUMBER(D32),ISNUMBER(D33),ISNUMBER(D34),ISNUMBER(D35),ISNUMBER(D36)),IF(AF31=3,X31,IF(AF32=3,X32,IF(AF33=3,X33,IF(AF34=3,X34,"")))),"")</f>
        <v>3</v>
      </c>
      <c r="O33" s="3">
        <f>IF(AND(ISNUMBER(D31),ISNUMBER(D32),ISNUMBER(D33),ISNUMBER(D34),ISNUMBER(D35),ISNUMBER(D36)),IF(AF31=3,Y31,IF(AF32=3,Y32,IF(AF33=3,Y33,IF(AF34=3,Y34,"")))),"")</f>
        <v>0</v>
      </c>
      <c r="P33" s="3">
        <f>IF(AND(ISNUMBER(D31),ISNUMBER(D32),ISNUMBER(D33),ISNUMBER(D34),ISNUMBER(D35),ISNUMBER(D36)),IF(AF31=3,Z31,IF(AF32=3,Z32,IF(AF33=3,Z33,IF(AF34=3,Z34,"")))),"")</f>
        <v>2</v>
      </c>
      <c r="Q33" s="3">
        <f>IF(AND(ISNUMBER(D31),ISNUMBER(D32),ISNUMBER(D33),ISNUMBER(D34),ISNUMBER(D35),ISNUMBER(D36)),IF(AF31=3,AA31,IF(AF32=3,AA32,IF(AF33=3,AA33,IF(AF34=3,AA34,"")))),"")</f>
        <v>1</v>
      </c>
      <c r="R33" s="3">
        <f>IF(AND(ISNUMBER(D31),ISNUMBER(D32),ISNUMBER(D33),ISNUMBER(D34),ISNUMBER(D35),ISNUMBER(D36)),IF(AF31=3,AB31,IF(AF32=3,AB32,IF(AF33=3,AB33,IF(AF34=3,AB34,"")))),"")</f>
        <v>3</v>
      </c>
      <c r="S33" s="3">
        <f>IF(AND(ISNUMBER(D31),ISNUMBER(D32),ISNUMBER(D33),ISNUMBER(D34),ISNUMBER(D35),ISNUMBER(D36)),IF(AF31=3,AC31,IF(AF32=3,AC32,IF(AF33=3,AC33,IF(AF34=3,AC34,"")))),"")</f>
        <v>4</v>
      </c>
      <c r="T33" s="3">
        <f>IF(AND(ISNUMBER(D31),ISNUMBER(D32),ISNUMBER(D33),ISNUMBER(D34),ISNUMBER(D35),ISNUMBER(D36)),IF(AF31=3,AD31,IF(AF32=3,AD32,IF(AF33=3,AD33,IF(AF34=3,AD34,"")))),"")</f>
        <v>-1</v>
      </c>
      <c r="U33" s="3">
        <f>IF(AND(ISNUMBER(D31),ISNUMBER(D32),ISNUMBER(D33),ISNUMBER(D34),ISNUMBER(D35),ISNUMBER(D36)),IF(AF31=3,AE31,IF(AF32=3,AE32,IF(AF33=3,AE33,IF(AF34=3,AE34,"")))),"")</f>
        <v>2</v>
      </c>
      <c r="W33" t="s">
        <v>81</v>
      </c>
      <c r="X33">
        <f>((C31="Australia")*ISNUMBER(D31))+((G31="Australia")*ISNUMBER(D31))+((C32="Australia")*ISNUMBER(D32))+((G32="Australia")*ISNUMBER(D32))+((C33="Australia")*ISNUMBER(D33))+((G33="Australia")*ISNUMBER(D33))+((C34="Australia")*ISNUMBER(D34))+((G34="Australia")*ISNUMBER(D34))+((C35="Australia")*ISNUMBER(D35))+((G35="Australia")*ISNUMBER(D35))+((C36="Australia")*ISNUMBER(D36))+((G36="Australia")*ISNUMBER(D36))</f>
        <v>3</v>
      </c>
      <c r="Y33">
        <f>((C31="Australia")*ISNUMBER(D31)*(D31&gt;F31))+((G31="Australia")*ISNUMBER(D31)*(F31&gt;D31))+((C32="Australia")*ISNUMBER(D32)*(D32&gt;F32))+((G32="Australia")*ISNUMBER(D32)*(F32&gt;D32))+((C33="Australia")*ISNUMBER(D33)*(D33&gt;F33))+((G33="Australia")*ISNUMBER(D33)*(F33&gt;D33))+((C34="Australia")*ISNUMBER(D34)*(D34&gt;F34))+((G34="Australia")*ISNUMBER(D34)*(F34&gt;D34))+((C35="Australia")*ISNUMBER(D35)*(D35&gt;F35))+((G35="Australia")*ISNUMBER(D35)*(F35&gt;D35))+((C36="Australia")*ISNUMBER(D36)*(D36&gt;F36))+((G36="Australia")*ISNUMBER(D36)*(F36&gt;D36))</f>
        <v>0</v>
      </c>
      <c r="Z33">
        <f>((C31="Australia")*ISNUMBER(D31)*(D31=F31))+((G31="Australia")*ISNUMBER(D31)*(F31=D31))+((C32="Australia")*ISNUMBER(D32)*(D32=F32))+((G32="Australia")*ISNUMBER(D32)*(F32=D32))+((C33="Australia")*ISNUMBER(D33)*(D33=F33))+((G33="Australia")*ISNUMBER(D33)*(F33=D33))+((C34="Australia")*ISNUMBER(D34)*(D34=F34))+((G34="Australia")*ISNUMBER(D34)*(F34=D34))+((C35="Australia")*ISNUMBER(D35)*(D35=F35))+((G35="Australia")*ISNUMBER(D35)*(F35=D35))+((C36="Australia")*ISNUMBER(D36)*(D36=F36))+((G36="Australia")*ISNUMBER(D36)*(F36=D36))</f>
        <v>2</v>
      </c>
      <c r="AA33">
        <f>((C31="Australia")*ISNUMBER(D31)*(D31&lt;F31))+((G31="Australia")*ISNUMBER(D31)*(F31&lt;D31))+((C32="Australia")*ISNUMBER(D32)*(D32&lt;F32))+((G32="Australia")*ISNUMBER(D32)*(F32&lt;D32))+((C33="Australia")*ISNUMBER(D33)*(D33&lt;F33))+((G33="Australia")*ISNUMBER(D33)*(F33&lt;D33))+((C34="Australia")*ISNUMBER(D34)*(D34&lt;F34))+((G34="Australia")*ISNUMBER(D34)*(F34&lt;D34))+((C35="Australia")*ISNUMBER(D35)*(D35&lt;F35))+((G35="Australia")*ISNUMBER(D35)*(F35&lt;D35))+((C36="Australia")*ISNUMBER(D36)*(D36&lt;F36))+((G36="Australia")*ISNUMBER(D36)*(F36&lt;D36))</f>
        <v>1</v>
      </c>
      <c r="AB33">
        <f>IF((C31="Australia")*ISNUMBER(D31),D31,0)+IF((G31="Australia")*ISNUMBER(D31),F31,0)+IF((C32="Australia")*ISNUMBER(D32),D32,0)+IF((G32="Australia")*ISNUMBER(D32),F32,0)+IF((C33="Australia")*ISNUMBER(D33),D33,0)+IF((G33="Australia")*ISNUMBER(D33),F33,0)+IF((C34="Australia")*ISNUMBER(D34),D34,0)+IF((G34="Australia")*ISNUMBER(D34),F34,0)+IF((C35="Australia")*ISNUMBER(D35),D35,0)+IF((G35="Australia")*ISNUMBER(D35),F35,0)+IF((C36="Australia")*ISNUMBER(D36),D36,0)+IF((G36="Australia")*ISNUMBER(D36),F36,0)</f>
        <v>3</v>
      </c>
      <c r="AC33">
        <f>IF((C31="Australia")*ISNUMBER(D31),F31,0)+IF((G31="Australia")*ISNUMBER(D31),D31,0)+IF((C32="Australia")*ISNUMBER(D32),F32,0)+IF((G32="Australia")*ISNUMBER(D32),D32,0)+IF((C33="Australia")*ISNUMBER(D33),F33,0)+IF((G33="Australia")*ISNUMBER(D33),D33,0)+IF((C34="Australia")*ISNUMBER(D34),F34,0)+IF((G34="Australia")*ISNUMBER(D34),D34,0)+IF((C35="Australia")*ISNUMBER(D35),F35,0)+IF((G35="Australia")*ISNUMBER(D35),D35,0)+IF((C36="Australia")*ISNUMBER(D36),F36,0)+IF((G36="Australia")*ISNUMBER(D36),D36,0)</f>
        <v>4</v>
      </c>
      <c r="AD33">
        <f>AB33-AC33</f>
        <v>-1</v>
      </c>
      <c r="AE33">
        <f>3*Y33+Z33</f>
        <v>2</v>
      </c>
      <c r="AF33">
        <f>1+((AE31&gt;AE33)+(AE31=AE33)*(AD31&gt;AD33)+(AE31=AE33)*(AD31=AD33)*(AB31&gt;AB33)&gt;0)*1+((AE32&gt;AE33)+(AE32=AE33)*(AD32&gt;AD33)+(AE32=AE33)*(AD32=AD33)*(AB32&gt;AB33)&gt;0)*1+((AE34&gt;AE33)+(AE34=AE33)*(AD34&gt;AD33)+(AE34=AE33)*(AD34=AD33)*(AB34&gt;AB33)&gt;0)*1</f>
        <v>3</v>
      </c>
    </row>
    <row r="34" spans="1:32" ht="16.5" customHeight="1" x14ac:dyDescent="0.3">
      <c r="A34" s="7">
        <v>22</v>
      </c>
      <c r="B34" s="7" t="s">
        <v>78</v>
      </c>
      <c r="C34" s="8" t="s">
        <v>82</v>
      </c>
      <c r="D34" s="5">
        <v>3</v>
      </c>
      <c r="E34" s="7" t="s">
        <v>29</v>
      </c>
      <c r="F34" s="5">
        <v>0</v>
      </c>
      <c r="G34" s="8" t="s">
        <v>80</v>
      </c>
      <c r="H34" s="7" t="s">
        <v>73</v>
      </c>
      <c r="I34" s="7" t="s">
        <v>83</v>
      </c>
      <c r="J34" s="8" t="s">
        <v>57</v>
      </c>
      <c r="K34" s="9" t="s">
        <v>40</v>
      </c>
      <c r="M34" s="4" t="str">
        <f>IF(AND(ISNUMBER(D31),ISNUMBER(D32),ISNUMBER(D33),ISNUMBER(D34),ISNUMBER(D35),ISNUMBER(D36)),IF(AF31=4,W31,IF(AF32=4,W32,IF(AF33=4,W33,IF(AF34=4,W34,"")))),"")</f>
        <v>Paraguay</v>
      </c>
      <c r="N34" s="3">
        <f>IF(AND(ISNUMBER(D31),ISNUMBER(D32),ISNUMBER(D33),ISNUMBER(D34),ISNUMBER(D35),ISNUMBER(D36)),IF(AF31=4,X31,IF(AF32=4,X32,IF(AF33=4,X33,IF(AF34=4,X34,"")))),"")</f>
        <v>3</v>
      </c>
      <c r="O34" s="3">
        <f>IF(AND(ISNUMBER(D31),ISNUMBER(D32),ISNUMBER(D33),ISNUMBER(D34),ISNUMBER(D35),ISNUMBER(D36)),IF(AF31=4,Y31,IF(AF32=4,Y32,IF(AF33=4,Y33,IF(AF34=4,Y34,"")))),"")</f>
        <v>0</v>
      </c>
      <c r="P34" s="3">
        <f>IF(AND(ISNUMBER(D31),ISNUMBER(D32),ISNUMBER(D33),ISNUMBER(D34),ISNUMBER(D35),ISNUMBER(D36)),IF(AF31=4,Z31,IF(AF32=4,Z32,IF(AF33=4,Z33,IF(AF34=4,Z34,"")))),"")</f>
        <v>1</v>
      </c>
      <c r="Q34" s="3">
        <f>IF(AND(ISNUMBER(D31),ISNUMBER(D32),ISNUMBER(D33),ISNUMBER(D34),ISNUMBER(D35),ISNUMBER(D36)),IF(AF31=4,AA31,IF(AF32=4,AA32,IF(AF33=4,AA33,IF(AF34=4,AA34,"")))),"")</f>
        <v>2</v>
      </c>
      <c r="R34" s="3">
        <f>IF(AND(ISNUMBER(D31),ISNUMBER(D32),ISNUMBER(D33),ISNUMBER(D34),ISNUMBER(D35),ISNUMBER(D36)),IF(AF31=4,AB31,IF(AF32=4,AB32,IF(AF33=4,AB33,IF(AF34=4,AB34,"")))),"")</f>
        <v>2</v>
      </c>
      <c r="S34" s="3">
        <f>IF(AND(ISNUMBER(D31),ISNUMBER(D32),ISNUMBER(D33),ISNUMBER(D34),ISNUMBER(D35),ISNUMBER(D36)),IF(AF31=4,AC31,IF(AF32=4,AC32,IF(AF33=4,AC33,IF(AF34=4,AC34,"")))),"")</f>
        <v>6</v>
      </c>
      <c r="T34" s="3">
        <f>IF(AND(ISNUMBER(D31),ISNUMBER(D32),ISNUMBER(D33),ISNUMBER(D34),ISNUMBER(D35),ISNUMBER(D36)),IF(AF31=4,AD31,IF(AF32=4,AD32,IF(AF33=4,AD33,IF(AF34=4,AD34,"")))),"")</f>
        <v>-4</v>
      </c>
      <c r="U34" s="3">
        <f>IF(AND(ISNUMBER(D31),ISNUMBER(D32),ISNUMBER(D33),ISNUMBER(D34),ISNUMBER(D35),ISNUMBER(D36)),IF(AF31=4,AE31,IF(AF32=4,AE32,IF(AF33=4,AE33,IF(AF34=4,AE34,"")))),"")</f>
        <v>1</v>
      </c>
      <c r="W34" t="s">
        <v>82</v>
      </c>
      <c r="X34">
        <f>((C31="Tyrkia")*ISNUMBER(D31))+((G31="Tyrkia")*ISNUMBER(D31))+((C32="Tyrkia")*ISNUMBER(D32))+((G32="Tyrkia")*ISNUMBER(D32))+((C33="Tyrkia")*ISNUMBER(D33))+((G33="Tyrkia")*ISNUMBER(D33))+((C34="Tyrkia")*ISNUMBER(D34))+((G34="Tyrkia")*ISNUMBER(D34))+((C35="Tyrkia")*ISNUMBER(D35))+((G35="Tyrkia")*ISNUMBER(D35))+((C36="Tyrkia")*ISNUMBER(D36))+((G36="Tyrkia")*ISNUMBER(D36))</f>
        <v>3</v>
      </c>
      <c r="Y34">
        <f>((C31="Tyrkia")*ISNUMBER(D31)*(D31&gt;F31))+((G31="Tyrkia")*ISNUMBER(D31)*(F31&gt;D31))+((C32="Tyrkia")*ISNUMBER(D32)*(D32&gt;F32))+((G32="Tyrkia")*ISNUMBER(D32)*(F32&gt;D32))+((C33="Tyrkia")*ISNUMBER(D33)*(D33&gt;F33))+((G33="Tyrkia")*ISNUMBER(D33)*(F33&gt;D33))+((C34="Tyrkia")*ISNUMBER(D34)*(D34&gt;F34))+((G34="Tyrkia")*ISNUMBER(D34)*(F34&gt;D34))+((C35="Tyrkia")*ISNUMBER(D35)*(D35&gt;F35))+((G35="Tyrkia")*ISNUMBER(D35)*(F35&gt;D35))+((C36="Tyrkia")*ISNUMBER(D36)*(D36&gt;F36))+((G36="Tyrkia")*ISNUMBER(D36)*(F36&gt;D36))</f>
        <v>3</v>
      </c>
      <c r="Z34">
        <f>((C31="Tyrkia")*ISNUMBER(D31)*(D31=F31))+((G31="Tyrkia")*ISNUMBER(D31)*(F31=D31))+((C32="Tyrkia")*ISNUMBER(D32)*(D32=F32))+((G32="Tyrkia")*ISNUMBER(D32)*(F32=D32))+((C33="Tyrkia")*ISNUMBER(D33)*(D33=F33))+((G33="Tyrkia")*ISNUMBER(D33)*(F33=D33))+((C34="Tyrkia")*ISNUMBER(D34)*(D34=F34))+((G34="Tyrkia")*ISNUMBER(D34)*(F34=D34))+((C35="Tyrkia")*ISNUMBER(D35)*(D35=F35))+((G35="Tyrkia")*ISNUMBER(D35)*(F35=D35))+((C36="Tyrkia")*ISNUMBER(D36)*(D36=F36))+((G36="Tyrkia")*ISNUMBER(D36)*(F36=D36))</f>
        <v>0</v>
      </c>
      <c r="AA34">
        <f>((C31="Tyrkia")*ISNUMBER(D31)*(D31&lt;F31))+((G31="Tyrkia")*ISNUMBER(D31)*(F31&lt;D31))+((C32="Tyrkia")*ISNUMBER(D32)*(D32&lt;F32))+((G32="Tyrkia")*ISNUMBER(D32)*(F32&lt;D32))+((C33="Tyrkia")*ISNUMBER(D33)*(D33&lt;F33))+((G33="Tyrkia")*ISNUMBER(D33)*(F33&lt;D33))+((C34="Tyrkia")*ISNUMBER(D34)*(D34&lt;F34))+((G34="Tyrkia")*ISNUMBER(D34)*(F34&lt;D34))+((C35="Tyrkia")*ISNUMBER(D35)*(D35&lt;F35))+((G35="Tyrkia")*ISNUMBER(D35)*(F35&lt;D35))+((C36="Tyrkia")*ISNUMBER(D36)*(D36&lt;F36))+((G36="Tyrkia")*ISNUMBER(D36)*(F36&lt;D36))</f>
        <v>0</v>
      </c>
      <c r="AB34">
        <f>IF((C31="Tyrkia")*ISNUMBER(D31),D31,0)+IF((G31="Tyrkia")*ISNUMBER(D31),F31,0)+IF((C32="Tyrkia")*ISNUMBER(D32),D32,0)+IF((G32="Tyrkia")*ISNUMBER(D32),F32,0)+IF((C33="Tyrkia")*ISNUMBER(D33),D33,0)+IF((G33="Tyrkia")*ISNUMBER(D33),F33,0)+IF((C34="Tyrkia")*ISNUMBER(D34),D34,0)+IF((G34="Tyrkia")*ISNUMBER(D34),F34,0)+IF((C35="Tyrkia")*ISNUMBER(D35),D35,0)+IF((G35="Tyrkia")*ISNUMBER(D35),F35,0)+IF((C36="Tyrkia")*ISNUMBER(D36),D36,0)+IF((G36="Tyrkia")*ISNUMBER(D36),F36,0)</f>
        <v>5</v>
      </c>
      <c r="AC34">
        <f>IF((C31="Tyrkia")*ISNUMBER(D31),F31,0)+IF((G31="Tyrkia")*ISNUMBER(D31),D31,0)+IF((C32="Tyrkia")*ISNUMBER(D32),F32,0)+IF((G32="Tyrkia")*ISNUMBER(D32),D32,0)+IF((C33="Tyrkia")*ISNUMBER(D33),F33,0)+IF((G33="Tyrkia")*ISNUMBER(D33),D33,0)+IF((C34="Tyrkia")*ISNUMBER(D34),F34,0)+IF((G34="Tyrkia")*ISNUMBER(D34),D34,0)+IF((C35="Tyrkia")*ISNUMBER(D35),F35,0)+IF((G35="Tyrkia")*ISNUMBER(D35),D35,0)+IF((C36="Tyrkia")*ISNUMBER(D36),F36,0)+IF((G36="Tyrkia")*ISNUMBER(D36),D36,0)</f>
        <v>0</v>
      </c>
      <c r="AD34">
        <f>AB34-AC34</f>
        <v>5</v>
      </c>
      <c r="AE34">
        <f>3*Y34+Z34</f>
        <v>9</v>
      </c>
      <c r="AF34">
        <f>1+((AE31&gt;AE34)+(AE31=AE34)*(AD31&gt;AD34)+(AE31=AE34)*(AD31=AD34)*(AB31&gt;AB34)&gt;0)*1+((AE32&gt;AE34)+(AE32=AE34)*(AD32&gt;AD34)+(AE32=AE34)*(AD32=AD34)*(AB32&gt;AB34)&gt;0)*1+((AE33&gt;AE34)+(AE33=AE34)*(AD33&gt;AD34)+(AE33=AE34)*(AD33=AD34)*(AB33&gt;AB34)&gt;0)*1</f>
        <v>1</v>
      </c>
    </row>
    <row r="35" spans="1:32" ht="16.5" customHeight="1" x14ac:dyDescent="0.3">
      <c r="A35" s="3">
        <v>23</v>
      </c>
      <c r="B35" s="3" t="s">
        <v>78</v>
      </c>
      <c r="C35" s="4" t="s">
        <v>82</v>
      </c>
      <c r="D35" s="5">
        <v>1</v>
      </c>
      <c r="E35" s="3" t="s">
        <v>29</v>
      </c>
      <c r="F35" s="5">
        <v>0</v>
      </c>
      <c r="G35" s="4" t="s">
        <v>79</v>
      </c>
      <c r="H35" s="3" t="s">
        <v>84</v>
      </c>
      <c r="I35" s="3" t="s">
        <v>38</v>
      </c>
      <c r="J35" s="4" t="s">
        <v>58</v>
      </c>
      <c r="K35" s="9" t="s">
        <v>40</v>
      </c>
    </row>
    <row r="36" spans="1:32" ht="16.5" customHeight="1" x14ac:dyDescent="0.3">
      <c r="A36" s="7">
        <v>24</v>
      </c>
      <c r="B36" s="7" t="s">
        <v>78</v>
      </c>
      <c r="C36" s="8" t="s">
        <v>80</v>
      </c>
      <c r="D36" s="5">
        <v>1</v>
      </c>
      <c r="E36" s="7" t="s">
        <v>29</v>
      </c>
      <c r="F36" s="5">
        <v>1</v>
      </c>
      <c r="G36" s="8" t="s">
        <v>81</v>
      </c>
      <c r="H36" s="7" t="s">
        <v>84</v>
      </c>
      <c r="I36" s="7" t="s">
        <v>38</v>
      </c>
      <c r="J36" s="8" t="s">
        <v>57</v>
      </c>
      <c r="K36" s="9" t="s">
        <v>40</v>
      </c>
    </row>
    <row r="37" spans="1:32" ht="18.75" customHeight="1" x14ac:dyDescent="0.3">
      <c r="A37" s="56" t="s">
        <v>85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M37" s="57" t="s">
        <v>86</v>
      </c>
      <c r="N37" s="57"/>
      <c r="O37" s="57"/>
      <c r="P37" s="57"/>
      <c r="Q37" s="57"/>
      <c r="R37" s="57"/>
      <c r="S37" s="57"/>
      <c r="T37" s="57"/>
      <c r="U37" s="57"/>
    </row>
    <row r="38" spans="1:32" ht="15.75" customHeight="1" x14ac:dyDescent="0.3">
      <c r="A38" s="1" t="s">
        <v>8</v>
      </c>
      <c r="B38" s="1" t="s">
        <v>9</v>
      </c>
      <c r="C38" s="1" t="s">
        <v>10</v>
      </c>
      <c r="D38" s="1" t="s">
        <v>11</v>
      </c>
      <c r="E38" s="1"/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M38" s="2" t="s">
        <v>18</v>
      </c>
      <c r="N38" s="2" t="s">
        <v>19</v>
      </c>
      <c r="O38" s="2" t="s">
        <v>20</v>
      </c>
      <c r="P38" s="2" t="s">
        <v>21</v>
      </c>
      <c r="Q38" s="2" t="s">
        <v>22</v>
      </c>
      <c r="R38" s="2" t="s">
        <v>23</v>
      </c>
      <c r="S38" s="2" t="s">
        <v>24</v>
      </c>
      <c r="T38" s="2" t="s">
        <v>25</v>
      </c>
      <c r="U38" s="2" t="s">
        <v>26</v>
      </c>
    </row>
    <row r="39" spans="1:32" ht="16.5" customHeight="1" x14ac:dyDescent="0.3">
      <c r="A39" s="3">
        <v>25</v>
      </c>
      <c r="B39" s="3" t="s">
        <v>87</v>
      </c>
      <c r="C39" s="4" t="s">
        <v>88</v>
      </c>
      <c r="D39" s="5">
        <v>5</v>
      </c>
      <c r="E39" s="3" t="s">
        <v>29</v>
      </c>
      <c r="F39" s="5">
        <v>0</v>
      </c>
      <c r="G39" s="4" t="s">
        <v>89</v>
      </c>
      <c r="H39" s="3" t="s">
        <v>68</v>
      </c>
      <c r="I39" s="3" t="s">
        <v>90</v>
      </c>
      <c r="J39" s="4" t="s">
        <v>91</v>
      </c>
      <c r="K39" s="9" t="s">
        <v>40</v>
      </c>
      <c r="M39" s="4" t="str">
        <f>IF(AND(ISNUMBER(D39),ISNUMBER(D40),ISNUMBER(D41),ISNUMBER(D42),ISNUMBER(D43),ISNUMBER(D44)),IF(AF39=1,W39,IF(AF40=1,W40,IF(AF41=1,W41,IF(AF42=1,W42,"")))),"")</f>
        <v>Tyskland</v>
      </c>
      <c r="N39" s="3">
        <f>IF(AND(ISNUMBER(D39),ISNUMBER(D40),ISNUMBER(D41),ISNUMBER(D42),ISNUMBER(D43),ISNUMBER(D44)),IF(AF39=1,X39,IF(AF40=1,X40,IF(AF41=1,X41,IF(AF42=1,X42,"")))),"")</f>
        <v>3</v>
      </c>
      <c r="O39" s="3">
        <f>IF(AND(ISNUMBER(D39),ISNUMBER(D40),ISNUMBER(D41),ISNUMBER(D42),ISNUMBER(D43),ISNUMBER(D44)),IF(AF39=1,Y39,IF(AF40=1,Y40,IF(AF41=1,Y41,IF(AF42=1,Y42,"")))),"")</f>
        <v>2</v>
      </c>
      <c r="P39" s="3">
        <f>IF(AND(ISNUMBER(D39),ISNUMBER(D40),ISNUMBER(D41),ISNUMBER(D42),ISNUMBER(D43),ISNUMBER(D44)),IF(AF39=1,Z39,IF(AF40=1,Z40,IF(AF41=1,Z41,IF(AF42=1,Z42,"")))),"")</f>
        <v>1</v>
      </c>
      <c r="Q39" s="3">
        <f>IF(AND(ISNUMBER(D39),ISNUMBER(D40),ISNUMBER(D41),ISNUMBER(D42),ISNUMBER(D43),ISNUMBER(D44)),IF(AF39=1,AA39,IF(AF40=1,AA40,IF(AF41=1,AA41,IF(AF42=1,AA42,"")))),"")</f>
        <v>0</v>
      </c>
      <c r="R39" s="3">
        <f>IF(AND(ISNUMBER(D39),ISNUMBER(D40),ISNUMBER(D41),ISNUMBER(D42),ISNUMBER(D43),ISNUMBER(D44)),IF(AF39=1,AB39,IF(AF40=1,AB40,IF(AF41=1,AB41,IF(AF42=1,AB42,"")))),"")</f>
        <v>11</v>
      </c>
      <c r="S39" s="3">
        <f>IF(AND(ISNUMBER(D39),ISNUMBER(D40),ISNUMBER(D41),ISNUMBER(D42),ISNUMBER(D43),ISNUMBER(D44)),IF(AF39=1,AC39,IF(AF40=1,AC40,IF(AF41=1,AC41,IF(AF42=1,AC42,"")))),"")</f>
        <v>5</v>
      </c>
      <c r="T39" s="3">
        <f>IF(AND(ISNUMBER(D39),ISNUMBER(D40),ISNUMBER(D41),ISNUMBER(D42),ISNUMBER(D43),ISNUMBER(D44)),IF(AF39=1,AD39,IF(AF40=1,AD40,IF(AF41=1,AD41,IF(AF42=1,AD42,"")))),"")</f>
        <v>6</v>
      </c>
      <c r="U39" s="3">
        <f>IF(AND(ISNUMBER(D39),ISNUMBER(D40),ISNUMBER(D41),ISNUMBER(D42),ISNUMBER(D43),ISNUMBER(D44)),IF(AF39=1,AE39,IF(AF40=1,AE40,IF(AF41=1,AE41,IF(AF42=1,AE42,"")))),"")</f>
        <v>7</v>
      </c>
      <c r="W39" t="s">
        <v>88</v>
      </c>
      <c r="X39">
        <f>((C39="Tyskland")*ISNUMBER(D39))+((G39="Tyskland")*ISNUMBER(D39))+((C40="Tyskland")*ISNUMBER(D40))+((G40="Tyskland")*ISNUMBER(D40))+((C41="Tyskland")*ISNUMBER(D41))+((G41="Tyskland")*ISNUMBER(D41))+((C42="Tyskland")*ISNUMBER(D42))+((G42="Tyskland")*ISNUMBER(D42))+((C43="Tyskland")*ISNUMBER(D43))+((G43="Tyskland")*ISNUMBER(D43))+((C44="Tyskland")*ISNUMBER(D44))+((G44="Tyskland")*ISNUMBER(D44))</f>
        <v>3</v>
      </c>
      <c r="Y39">
        <f>((C39="Tyskland")*ISNUMBER(D39)*(D39&gt;F39))+((G39="Tyskland")*ISNUMBER(D39)*(F39&gt;D39))+((C40="Tyskland")*ISNUMBER(D40)*(D40&gt;F40))+((G40="Tyskland")*ISNUMBER(D40)*(F40&gt;D40))+((C41="Tyskland")*ISNUMBER(D41)*(D41&gt;F41))+((G41="Tyskland")*ISNUMBER(D41)*(F41&gt;D41))+((C42="Tyskland")*ISNUMBER(D42)*(D42&gt;F42))+((G42="Tyskland")*ISNUMBER(D42)*(F42&gt;D42))+((C43="Tyskland")*ISNUMBER(D43)*(D43&gt;F43))+((G43="Tyskland")*ISNUMBER(D43)*(F43&gt;D43))+((C44="Tyskland")*ISNUMBER(D44)*(D44&gt;F44))+((G44="Tyskland")*ISNUMBER(D44)*(F44&gt;D44))</f>
        <v>2</v>
      </c>
      <c r="Z39">
        <f>((C39="Tyskland")*ISNUMBER(D39)*(D39=F39))+((G39="Tyskland")*ISNUMBER(D39)*(F39=D39))+((C40="Tyskland")*ISNUMBER(D40)*(D40=F40))+((G40="Tyskland")*ISNUMBER(D40)*(F40=D40))+((C41="Tyskland")*ISNUMBER(D41)*(D41=F41))+((G41="Tyskland")*ISNUMBER(D41)*(F41=D41))+((C42="Tyskland")*ISNUMBER(D42)*(D42=F42))+((G42="Tyskland")*ISNUMBER(D42)*(F42=D42))+((C43="Tyskland")*ISNUMBER(D43)*(D43=F43))+((G43="Tyskland")*ISNUMBER(D43)*(F43=D43))+((C44="Tyskland")*ISNUMBER(D44)*(D44=F44))+((G44="Tyskland")*ISNUMBER(D44)*(F44=D44))</f>
        <v>1</v>
      </c>
      <c r="AA39">
        <f>((C39="Tyskland")*ISNUMBER(D39)*(D39&lt;F39))+((G39="Tyskland")*ISNUMBER(D39)*(F39&lt;D39))+((C40="Tyskland")*ISNUMBER(D40)*(D40&lt;F40))+((G40="Tyskland")*ISNUMBER(D40)*(F40&lt;D40))+((C41="Tyskland")*ISNUMBER(D41)*(D41&lt;F41))+((G41="Tyskland")*ISNUMBER(D41)*(F41&lt;D41))+((C42="Tyskland")*ISNUMBER(D42)*(D42&lt;F42))+((G42="Tyskland")*ISNUMBER(D42)*(F42&lt;D42))+((C43="Tyskland")*ISNUMBER(D43)*(D43&lt;F43))+((G43="Tyskland")*ISNUMBER(D43)*(F43&lt;D43))+((C44="Tyskland")*ISNUMBER(D44)*(D44&lt;F44))+((G44="Tyskland")*ISNUMBER(D44)*(F44&lt;D44))</f>
        <v>0</v>
      </c>
      <c r="AB39">
        <f>IF((C39="Tyskland")*ISNUMBER(D39),D39,0)+IF((G39="Tyskland")*ISNUMBER(D39),F39,0)+IF((C40="Tyskland")*ISNUMBER(D40),D40,0)+IF((G40="Tyskland")*ISNUMBER(D40),F40,0)+IF((C41="Tyskland")*ISNUMBER(D41),D41,0)+IF((G41="Tyskland")*ISNUMBER(D41),F41,0)+IF((C42="Tyskland")*ISNUMBER(D42),D42,0)+IF((G42="Tyskland")*ISNUMBER(D42),F42,0)+IF((C43="Tyskland")*ISNUMBER(D43),D43,0)+IF((G43="Tyskland")*ISNUMBER(D43),F43,0)+IF((C44="Tyskland")*ISNUMBER(D44),D44,0)+IF((G44="Tyskland")*ISNUMBER(D44),F44,0)</f>
        <v>11</v>
      </c>
      <c r="AC39">
        <f>IF((C39="Tyskland")*ISNUMBER(D39),F39,0)+IF((G39="Tyskland")*ISNUMBER(D39),D39,0)+IF((C40="Tyskland")*ISNUMBER(D40),F40,0)+IF((G40="Tyskland")*ISNUMBER(D40),D40,0)+IF((C41="Tyskland")*ISNUMBER(D41),F41,0)+IF((G41="Tyskland")*ISNUMBER(D41),D41,0)+IF((C42="Tyskland")*ISNUMBER(D42),F42,0)+IF((G42="Tyskland")*ISNUMBER(D42),D42,0)+IF((C43="Tyskland")*ISNUMBER(D43),F43,0)+IF((G43="Tyskland")*ISNUMBER(D43),D43,0)+IF((C44="Tyskland")*ISNUMBER(D44),F44,0)+IF((G44="Tyskland")*ISNUMBER(D44),D44,0)</f>
        <v>5</v>
      </c>
      <c r="AD39">
        <f>AB39-AC39</f>
        <v>6</v>
      </c>
      <c r="AE39">
        <f>3*Y39+Z39</f>
        <v>7</v>
      </c>
      <c r="AF39">
        <f>1+((AE40&gt;AE39)+(AE40=AE39)*(AD40&gt;AD39)+(AE40=AE39)*(AD40=AD39)*(AB40&gt;AB39)&gt;0)*1+((AE41&gt;AE39)+(AE41=AE39)*(AD41&gt;AD39)+(AE41=AE39)*(AD41=AD39)*(AB41&gt;AB39)&gt;0)*1+((AE42&gt;AE39)+(AE42=AE39)*(AD42&gt;AD39)+(AE42=AE39)*(AD42=AD39)*(AB42&gt;AB39)&gt;0)*1</f>
        <v>1</v>
      </c>
    </row>
    <row r="40" spans="1:32" ht="16.5" customHeight="1" x14ac:dyDescent="0.3">
      <c r="A40" s="7">
        <v>26</v>
      </c>
      <c r="B40" s="7" t="s">
        <v>87</v>
      </c>
      <c r="C40" s="8" t="s">
        <v>92</v>
      </c>
      <c r="D40" s="5">
        <v>3</v>
      </c>
      <c r="E40" s="7" t="s">
        <v>29</v>
      </c>
      <c r="F40" s="5">
        <v>1</v>
      </c>
      <c r="G40" s="8" t="s">
        <v>93</v>
      </c>
      <c r="H40" s="7" t="s">
        <v>94</v>
      </c>
      <c r="I40" s="7" t="s">
        <v>95</v>
      </c>
      <c r="J40" s="8" t="s">
        <v>74</v>
      </c>
      <c r="K40" s="6" t="s">
        <v>34</v>
      </c>
      <c r="M40" s="4" t="str">
        <f>IF(AND(ISNUMBER(D39),ISNUMBER(D40),ISNUMBER(D41),ISNUMBER(D42),ISNUMBER(D43),ISNUMBER(D44)),IF(AF39=2,W39,IF(AF40=2,W40,IF(AF41=2,W41,IF(AF42=2,W42,"")))),"")</f>
        <v>Elfenbenskysten</v>
      </c>
      <c r="N40" s="3">
        <f>IF(AND(ISNUMBER(D39),ISNUMBER(D40),ISNUMBER(D41),ISNUMBER(D42),ISNUMBER(D43),ISNUMBER(D44)),IF(AF39=2,X39,IF(AF40=2,X40,IF(AF41=2,X41,IF(AF42=2,X42,"")))),"")</f>
        <v>3</v>
      </c>
      <c r="O40" s="3">
        <f>IF(AND(ISNUMBER(D39),ISNUMBER(D40),ISNUMBER(D41),ISNUMBER(D42),ISNUMBER(D43),ISNUMBER(D44)),IF(AF39=2,Y39,IF(AF40=2,Y40,IF(AF41=2,Y41,IF(AF42=2,Y42,"")))),"")</f>
        <v>1</v>
      </c>
      <c r="P40" s="3">
        <f>IF(AND(ISNUMBER(D39),ISNUMBER(D40),ISNUMBER(D41),ISNUMBER(D42),ISNUMBER(D43),ISNUMBER(D44)),IF(AF39=2,Z39,IF(AF40=2,Z40,IF(AF41=2,Z41,IF(AF42=2,Z42,"")))),"")</f>
        <v>2</v>
      </c>
      <c r="Q40" s="3">
        <f>IF(AND(ISNUMBER(D39),ISNUMBER(D40),ISNUMBER(D41),ISNUMBER(D42),ISNUMBER(D43),ISNUMBER(D44)),IF(AF39=2,AA39,IF(AF40=2,AA40,IF(AF41=2,AA41,IF(AF42=2,AA42,"")))),"")</f>
        <v>0</v>
      </c>
      <c r="R40" s="3">
        <f>IF(AND(ISNUMBER(D39),ISNUMBER(D40),ISNUMBER(D41),ISNUMBER(D42),ISNUMBER(D43),ISNUMBER(D44)),IF(AF39=2,AB39,IF(AF40=2,AB40,IF(AF41=2,AB41,IF(AF42=2,AB42,"")))),"")</f>
        <v>6</v>
      </c>
      <c r="S40" s="3">
        <f>IF(AND(ISNUMBER(D39),ISNUMBER(D40),ISNUMBER(D41),ISNUMBER(D42),ISNUMBER(D43),ISNUMBER(D44)),IF(AF39=2,AC39,IF(AF40=2,AC40,IF(AF41=2,AC41,IF(AF42=2,AC42,"")))),"")</f>
        <v>4</v>
      </c>
      <c r="T40" s="3">
        <f>IF(AND(ISNUMBER(D39),ISNUMBER(D40),ISNUMBER(D41),ISNUMBER(D42),ISNUMBER(D43),ISNUMBER(D44)),IF(AF39=2,AD39,IF(AF40=2,AD40,IF(AF41=2,AD41,IF(AF42=2,AD42,"")))),"")</f>
        <v>2</v>
      </c>
      <c r="U40" s="3">
        <f>IF(AND(ISNUMBER(D39),ISNUMBER(D40),ISNUMBER(D41),ISNUMBER(D42),ISNUMBER(D43),ISNUMBER(D44)),IF(AF39=2,AE39,IF(AF40=2,AE40,IF(AF41=2,AE41,IF(AF42=2,AE42,"")))),"")</f>
        <v>5</v>
      </c>
      <c r="W40" t="s">
        <v>89</v>
      </c>
      <c r="X40">
        <f>((C39="Curaçao")*ISNUMBER(D39))+((G39="Curaçao")*ISNUMBER(D39))+((C40="Curaçao")*ISNUMBER(D40))+((G40="Curaçao")*ISNUMBER(D40))+((C41="Curaçao")*ISNUMBER(D41))+((G41="Curaçao")*ISNUMBER(D41))+((C42="Curaçao")*ISNUMBER(D42))+((G42="Curaçao")*ISNUMBER(D42))+((C43="Curaçao")*ISNUMBER(D43))+((G43="Curaçao")*ISNUMBER(D43))+((C44="Curaçao")*ISNUMBER(D44))+((G44="Curaçao")*ISNUMBER(D44))</f>
        <v>3</v>
      </c>
      <c r="Y40">
        <f>((C39="Curaçao")*ISNUMBER(D39)*(D39&gt;F39))+((G39="Curaçao")*ISNUMBER(D39)*(F39&gt;D39))+((C40="Curaçao")*ISNUMBER(D40)*(D40&gt;F40))+((G40="Curaçao")*ISNUMBER(D40)*(F40&gt;D40))+((C41="Curaçao")*ISNUMBER(D41)*(D41&gt;F41))+((G41="Curaçao")*ISNUMBER(D41)*(F41&gt;D41))+((C42="Curaçao")*ISNUMBER(D42)*(D42&gt;F42))+((G42="Curaçao")*ISNUMBER(D42)*(F42&gt;D42))+((C43="Curaçao")*ISNUMBER(D43)*(D43&gt;F43))+((G43="Curaçao")*ISNUMBER(D43)*(F43&gt;D43))+((C44="Curaçao")*ISNUMBER(D44)*(D44&gt;F44))+((G44="Curaçao")*ISNUMBER(D44)*(F44&gt;D44))</f>
        <v>0</v>
      </c>
      <c r="Z40">
        <f>((C39="Curaçao")*ISNUMBER(D39)*(D39=F39))+((G39="Curaçao")*ISNUMBER(D39)*(F39=D39))+((C40="Curaçao")*ISNUMBER(D40)*(D40=F40))+((G40="Curaçao")*ISNUMBER(D40)*(F40=D40))+((C41="Curaçao")*ISNUMBER(D41)*(D41=F41))+((G41="Curaçao")*ISNUMBER(D41)*(F41=D41))+((C42="Curaçao")*ISNUMBER(D42)*(D42=F42))+((G42="Curaçao")*ISNUMBER(D42)*(F42=D42))+((C43="Curaçao")*ISNUMBER(D43)*(D43=F43))+((G43="Curaçao")*ISNUMBER(D43)*(F43=D43))+((C44="Curaçao")*ISNUMBER(D44)*(D44=F44))+((G44="Curaçao")*ISNUMBER(D44)*(F44=D44))</f>
        <v>1</v>
      </c>
      <c r="AA40">
        <f>((C39="Curaçao")*ISNUMBER(D39)*(D39&lt;F39))+((G39="Curaçao")*ISNUMBER(D39)*(F39&lt;D39))+((C40="Curaçao")*ISNUMBER(D40)*(D40&lt;F40))+((G40="Curaçao")*ISNUMBER(D40)*(F40&lt;D40))+((C41="Curaçao")*ISNUMBER(D41)*(D41&lt;F41))+((G41="Curaçao")*ISNUMBER(D41)*(F41&lt;D41))+((C42="Curaçao")*ISNUMBER(D42)*(D42&lt;F42))+((G42="Curaçao")*ISNUMBER(D42)*(F42&lt;D42))+((C43="Curaçao")*ISNUMBER(D43)*(D43&lt;F43))+((G43="Curaçao")*ISNUMBER(D43)*(F43&lt;D43))+((C44="Curaçao")*ISNUMBER(D44)*(D44&lt;F44))+((G44="Curaçao")*ISNUMBER(D44)*(F44&lt;D44))</f>
        <v>2</v>
      </c>
      <c r="AB40">
        <f>IF((C39="Curaçao")*ISNUMBER(D39),D39,0)+IF((G39="Curaçao")*ISNUMBER(D39),F39,0)+IF((C40="Curaçao")*ISNUMBER(D40),D40,0)+IF((G40="Curaçao")*ISNUMBER(D40),F40,0)+IF((C41="Curaçao")*ISNUMBER(D41),D41,0)+IF((G41="Curaçao")*ISNUMBER(D41),F41,0)+IF((C42="Curaçao")*ISNUMBER(D42),D42,0)+IF((G42="Curaçao")*ISNUMBER(D42),F42,0)+IF((C43="Curaçao")*ISNUMBER(D43),D43,0)+IF((G43="Curaçao")*ISNUMBER(D43),F43,0)+IF((C44="Curaçao")*ISNUMBER(D44),D44,0)+IF((G44="Curaçao")*ISNUMBER(D44),F44,0)</f>
        <v>2</v>
      </c>
      <c r="AC40">
        <f>IF((C39="Curaçao")*ISNUMBER(D39),F39,0)+IF((G39="Curaçao")*ISNUMBER(D39),D39,0)+IF((C40="Curaçao")*ISNUMBER(D40),F40,0)+IF((G40="Curaçao")*ISNUMBER(D40),D40,0)+IF((C41="Curaçao")*ISNUMBER(D41),F41,0)+IF((G41="Curaçao")*ISNUMBER(D41),D41,0)+IF((C42="Curaçao")*ISNUMBER(D42),F42,0)+IF((G42="Curaçao")*ISNUMBER(D42),D42,0)+IF((C43="Curaçao")*ISNUMBER(D43),F43,0)+IF((G43="Curaçao")*ISNUMBER(D43),D43,0)+IF((C44="Curaçao")*ISNUMBER(D44),F44,0)+IF((G44="Curaçao")*ISNUMBER(D44),D44,0)</f>
        <v>9</v>
      </c>
      <c r="AD40">
        <f>AB40-AC40</f>
        <v>-7</v>
      </c>
      <c r="AE40">
        <f>3*Y40+Z40</f>
        <v>1</v>
      </c>
      <c r="AF40">
        <f>1+((AE39&gt;AE40)+(AE39=AE40)*(AD39&gt;AD40)+(AE39=AE40)*(AD39=AD40)*(AB39&gt;AB40)&gt;0)*1+((AE41&gt;AE40)+(AE41=AE40)*(AD41&gt;AD40)+(AE41=AE40)*(AD41=AD40)*(AB41&gt;AB40)&gt;0)*1+((AE42&gt;AE40)+(AE42=AE40)*(AD42&gt;AD40)+(AE42=AE40)*(AD42=AD40)*(AB42&gt;AB40)&gt;0)*1</f>
        <v>4</v>
      </c>
    </row>
    <row r="41" spans="1:32" ht="16.5" customHeight="1" x14ac:dyDescent="0.3">
      <c r="A41" s="3">
        <v>27</v>
      </c>
      <c r="B41" s="3" t="s">
        <v>87</v>
      </c>
      <c r="C41" s="4" t="s">
        <v>88</v>
      </c>
      <c r="D41" s="5">
        <v>2</v>
      </c>
      <c r="E41" s="3" t="s">
        <v>29</v>
      </c>
      <c r="F41" s="5">
        <v>2</v>
      </c>
      <c r="G41" s="4" t="s">
        <v>92</v>
      </c>
      <c r="H41" s="3" t="s">
        <v>73</v>
      </c>
      <c r="I41" s="3" t="s">
        <v>96</v>
      </c>
      <c r="J41" s="4" t="s">
        <v>53</v>
      </c>
      <c r="K41" s="6" t="s">
        <v>34</v>
      </c>
      <c r="M41" s="4" t="str">
        <f>IF(AND(ISNUMBER(D39),ISNUMBER(D40),ISNUMBER(D41),ISNUMBER(D42),ISNUMBER(D43),ISNUMBER(D44)),IF(AF39=3,W39,IF(AF40=3,W40,IF(AF41=3,W41,IF(AF42=3,W42,"")))),"")</f>
        <v>Ecuador</v>
      </c>
      <c r="N41" s="3">
        <f>IF(AND(ISNUMBER(D39),ISNUMBER(D40),ISNUMBER(D41),ISNUMBER(D42),ISNUMBER(D43),ISNUMBER(D44)),IF(AF39=3,X39,IF(AF40=3,X40,IF(AF41=3,X41,IF(AF42=3,X42,"")))),"")</f>
        <v>3</v>
      </c>
      <c r="O41" s="3">
        <f>IF(AND(ISNUMBER(D39),ISNUMBER(D40),ISNUMBER(D41),ISNUMBER(D42),ISNUMBER(D43),ISNUMBER(D44)),IF(AF39=3,Y39,IF(AF40=3,Y40,IF(AF41=3,Y41,IF(AF42=3,Y42,"")))),"")</f>
        <v>1</v>
      </c>
      <c r="P41" s="3">
        <f>IF(AND(ISNUMBER(D39),ISNUMBER(D40),ISNUMBER(D41),ISNUMBER(D42),ISNUMBER(D43),ISNUMBER(D44)),IF(AF39=3,Z39,IF(AF40=3,Z40,IF(AF41=3,Z41,IF(AF42=3,Z42,"")))),"")</f>
        <v>0</v>
      </c>
      <c r="Q41" s="3">
        <f>IF(AND(ISNUMBER(D39),ISNUMBER(D40),ISNUMBER(D41),ISNUMBER(D42),ISNUMBER(D43),ISNUMBER(D44)),IF(AF39=3,AA39,IF(AF40=3,AA40,IF(AF41=3,AA41,IF(AF42=3,AA42,"")))),"")</f>
        <v>2</v>
      </c>
      <c r="R41" s="3">
        <f>IF(AND(ISNUMBER(D39),ISNUMBER(D40),ISNUMBER(D41),ISNUMBER(D42),ISNUMBER(D43),ISNUMBER(D44)),IF(AF39=3,AB39,IF(AF40=3,AB40,IF(AF41=3,AB41,IF(AF42=3,AB42,"")))),"")</f>
        <v>7</v>
      </c>
      <c r="S41" s="3">
        <f>IF(AND(ISNUMBER(D39),ISNUMBER(D40),ISNUMBER(D41),ISNUMBER(D42),ISNUMBER(D43),ISNUMBER(D44)),IF(AF39=3,AC39,IF(AF40=3,AC40,IF(AF41=3,AC41,IF(AF42=3,AC42,"")))),"")</f>
        <v>8</v>
      </c>
      <c r="T41" s="3">
        <f>IF(AND(ISNUMBER(D39),ISNUMBER(D40),ISNUMBER(D41),ISNUMBER(D42),ISNUMBER(D43),ISNUMBER(D44)),IF(AF39=3,AD39,IF(AF40=3,AD40,IF(AF41=3,AD41,IF(AF42=3,AD42,"")))),"")</f>
        <v>-1</v>
      </c>
      <c r="U41" s="3">
        <f>IF(AND(ISNUMBER(D39),ISNUMBER(D40),ISNUMBER(D41),ISNUMBER(D42),ISNUMBER(D43),ISNUMBER(D44)),IF(AF39=3,AE39,IF(AF40=3,AE40,IF(AF41=3,AE41,IF(AF42=3,AE42,"")))),"")</f>
        <v>3</v>
      </c>
      <c r="W41" t="s">
        <v>92</v>
      </c>
      <c r="X41">
        <f>((C39="Elfenbenskysten")*ISNUMBER(D39))+((G39="Elfenbenskysten")*ISNUMBER(D39))+((C40="Elfenbenskysten")*ISNUMBER(D40))+((G40="Elfenbenskysten")*ISNUMBER(D40))+((C41="Elfenbenskysten")*ISNUMBER(D41))+((G41="Elfenbenskysten")*ISNUMBER(D41))+((C42="Elfenbenskysten")*ISNUMBER(D42))+((G42="Elfenbenskysten")*ISNUMBER(D42))+((C43="Elfenbenskysten")*ISNUMBER(D43))+((G43="Elfenbenskysten")*ISNUMBER(D43))+((C44="Elfenbenskysten")*ISNUMBER(D44))+((G44="Elfenbenskysten")*ISNUMBER(D44))</f>
        <v>3</v>
      </c>
      <c r="Y41">
        <f>((C39="Elfenbenskysten")*ISNUMBER(D39)*(D39&gt;F39))+((G39="Elfenbenskysten")*ISNUMBER(D39)*(F39&gt;D39))+((C40="Elfenbenskysten")*ISNUMBER(D40)*(D40&gt;F40))+((G40="Elfenbenskysten")*ISNUMBER(D40)*(F40&gt;D40))+((C41="Elfenbenskysten")*ISNUMBER(D41)*(D41&gt;F41))+((G41="Elfenbenskysten")*ISNUMBER(D41)*(F41&gt;D41))+((C42="Elfenbenskysten")*ISNUMBER(D42)*(D42&gt;F42))+((G42="Elfenbenskysten")*ISNUMBER(D42)*(F42&gt;D42))+((C43="Elfenbenskysten")*ISNUMBER(D43)*(D43&gt;F43))+((G43="Elfenbenskysten")*ISNUMBER(D43)*(F43&gt;D43))+((C44="Elfenbenskysten")*ISNUMBER(D44)*(D44&gt;F44))+((G44="Elfenbenskysten")*ISNUMBER(D44)*(F44&gt;D44))</f>
        <v>1</v>
      </c>
      <c r="Z41">
        <f>((C39="Elfenbenskysten")*ISNUMBER(D39)*(D39=F39))+((G39="Elfenbenskysten")*ISNUMBER(D39)*(F39=D39))+((C40="Elfenbenskysten")*ISNUMBER(D40)*(D40=F40))+((G40="Elfenbenskysten")*ISNUMBER(D40)*(F40=D40))+((C41="Elfenbenskysten")*ISNUMBER(D41)*(D41=F41))+((G41="Elfenbenskysten")*ISNUMBER(D41)*(F41=D41))+((C42="Elfenbenskysten")*ISNUMBER(D42)*(D42=F42))+((G42="Elfenbenskysten")*ISNUMBER(D42)*(F42=D42))+((C43="Elfenbenskysten")*ISNUMBER(D43)*(D43=F43))+((G43="Elfenbenskysten")*ISNUMBER(D43)*(F43=D43))+((C44="Elfenbenskysten")*ISNUMBER(D44)*(D44=F44))+((G44="Elfenbenskysten")*ISNUMBER(D44)*(F44=D44))</f>
        <v>2</v>
      </c>
      <c r="AA41">
        <f>((C39="Elfenbenskysten")*ISNUMBER(D39)*(D39&lt;F39))+((G39="Elfenbenskysten")*ISNUMBER(D39)*(F39&lt;D39))+((C40="Elfenbenskysten")*ISNUMBER(D40)*(D40&lt;F40))+((G40="Elfenbenskysten")*ISNUMBER(D40)*(F40&lt;D40))+((C41="Elfenbenskysten")*ISNUMBER(D41)*(D41&lt;F41))+((G41="Elfenbenskysten")*ISNUMBER(D41)*(F41&lt;D41))+((C42="Elfenbenskysten")*ISNUMBER(D42)*(D42&lt;F42))+((G42="Elfenbenskysten")*ISNUMBER(D42)*(F42&lt;D42))+((C43="Elfenbenskysten")*ISNUMBER(D43)*(D43&lt;F43))+((G43="Elfenbenskysten")*ISNUMBER(D43)*(F43&lt;D43))+((C44="Elfenbenskysten")*ISNUMBER(D44)*(D44&lt;F44))+((G44="Elfenbenskysten")*ISNUMBER(D44)*(F44&lt;D44))</f>
        <v>0</v>
      </c>
      <c r="AB41">
        <f>IF((C39="Elfenbenskysten")*ISNUMBER(D39),D39,0)+IF((G39="Elfenbenskysten")*ISNUMBER(D39),F39,0)+IF((C40="Elfenbenskysten")*ISNUMBER(D40),D40,0)+IF((G40="Elfenbenskysten")*ISNUMBER(D40),F40,0)+IF((C41="Elfenbenskysten")*ISNUMBER(D41),D41,0)+IF((G41="Elfenbenskysten")*ISNUMBER(D41),F41,0)+IF((C42="Elfenbenskysten")*ISNUMBER(D42),D42,0)+IF((G42="Elfenbenskysten")*ISNUMBER(D42),F42,0)+IF((C43="Elfenbenskysten")*ISNUMBER(D43),D43,0)+IF((G43="Elfenbenskysten")*ISNUMBER(D43),F43,0)+IF((C44="Elfenbenskysten")*ISNUMBER(D44),D44,0)+IF((G44="Elfenbenskysten")*ISNUMBER(D44),F44,0)</f>
        <v>6</v>
      </c>
      <c r="AC41">
        <f>IF((C39="Elfenbenskysten")*ISNUMBER(D39),F39,0)+IF((G39="Elfenbenskysten")*ISNUMBER(D39),D39,0)+IF((C40="Elfenbenskysten")*ISNUMBER(D40),F40,0)+IF((G40="Elfenbenskysten")*ISNUMBER(D40),D40,0)+IF((C41="Elfenbenskysten")*ISNUMBER(D41),F41,0)+IF((G41="Elfenbenskysten")*ISNUMBER(D41),D41,0)+IF((C42="Elfenbenskysten")*ISNUMBER(D42),F42,0)+IF((G42="Elfenbenskysten")*ISNUMBER(D42),D42,0)+IF((C43="Elfenbenskysten")*ISNUMBER(D43),F43,0)+IF((G43="Elfenbenskysten")*ISNUMBER(D43),D43,0)+IF((C44="Elfenbenskysten")*ISNUMBER(D44),F44,0)+IF((G44="Elfenbenskysten")*ISNUMBER(D44),D44,0)</f>
        <v>4</v>
      </c>
      <c r="AD41">
        <f>AB41-AC41</f>
        <v>2</v>
      </c>
      <c r="AE41">
        <f>3*Y41+Z41</f>
        <v>5</v>
      </c>
      <c r="AF41">
        <f>1+((AE39&gt;AE41)+(AE39=AE41)*(AD39&gt;AD41)+(AE39=AE41)*(AD39=AD41)*(AB39&gt;AB41)&gt;0)*1+((AE40&gt;AE41)+(AE40=AE41)*(AD40&gt;AD41)+(AE40=AE41)*(AD40=AD41)*(AB40&gt;AB41)&gt;0)*1+((AE42&gt;AE41)+(AE42=AE41)*(AD42&gt;AD41)+(AE42=AE41)*(AD42=AD41)*(AB42&gt;AB41)&gt;0)*1</f>
        <v>2</v>
      </c>
    </row>
    <row r="42" spans="1:32" ht="16.5" customHeight="1" x14ac:dyDescent="0.3">
      <c r="A42" s="7">
        <v>28</v>
      </c>
      <c r="B42" s="7" t="s">
        <v>87</v>
      </c>
      <c r="C42" s="8" t="s">
        <v>93</v>
      </c>
      <c r="D42" s="5">
        <v>3</v>
      </c>
      <c r="E42" s="7" t="s">
        <v>29</v>
      </c>
      <c r="F42" s="5">
        <v>1</v>
      </c>
      <c r="G42" s="8" t="s">
        <v>89</v>
      </c>
      <c r="H42" s="7" t="s">
        <v>97</v>
      </c>
      <c r="I42" s="7" t="s">
        <v>98</v>
      </c>
      <c r="J42" s="8" t="s">
        <v>99</v>
      </c>
      <c r="K42" s="6" t="s">
        <v>34</v>
      </c>
      <c r="M42" s="4" t="str">
        <f>IF(AND(ISNUMBER(D39),ISNUMBER(D40),ISNUMBER(D41),ISNUMBER(D42),ISNUMBER(D43),ISNUMBER(D44)),IF(AF39=4,W39,IF(AF40=4,W40,IF(AF41=4,W41,IF(AF42=4,W42,"")))),"")</f>
        <v>Curaçao</v>
      </c>
      <c r="N42" s="3">
        <f>IF(AND(ISNUMBER(D39),ISNUMBER(D40),ISNUMBER(D41),ISNUMBER(D42),ISNUMBER(D43),ISNUMBER(D44)),IF(AF39=4,X39,IF(AF40=4,X40,IF(AF41=4,X41,IF(AF42=4,X42,"")))),"")</f>
        <v>3</v>
      </c>
      <c r="O42" s="3">
        <f>IF(AND(ISNUMBER(D39),ISNUMBER(D40),ISNUMBER(D41),ISNUMBER(D42),ISNUMBER(D43),ISNUMBER(D44)),IF(AF39=4,Y39,IF(AF40=4,Y40,IF(AF41=4,Y41,IF(AF42=4,Y42,"")))),"")</f>
        <v>0</v>
      </c>
      <c r="P42" s="3">
        <f>IF(AND(ISNUMBER(D39),ISNUMBER(D40),ISNUMBER(D41),ISNUMBER(D42),ISNUMBER(D43),ISNUMBER(D44)),IF(AF39=4,Z39,IF(AF40=4,Z40,IF(AF41=4,Z41,IF(AF42=4,Z42,"")))),"")</f>
        <v>1</v>
      </c>
      <c r="Q42" s="3">
        <f>IF(AND(ISNUMBER(D39),ISNUMBER(D40),ISNUMBER(D41),ISNUMBER(D42),ISNUMBER(D43),ISNUMBER(D44)),IF(AF39=4,AA39,IF(AF40=4,AA40,IF(AF41=4,AA41,IF(AF42=4,AA42,"")))),"")</f>
        <v>2</v>
      </c>
      <c r="R42" s="3">
        <f>IF(AND(ISNUMBER(D39),ISNUMBER(D40),ISNUMBER(D41),ISNUMBER(D42),ISNUMBER(D43),ISNUMBER(D44)),IF(AF39=4,AB39,IF(AF40=4,AB40,IF(AF41=4,AB41,IF(AF42=4,AB42,"")))),"")</f>
        <v>2</v>
      </c>
      <c r="S42" s="3">
        <f>IF(AND(ISNUMBER(D39),ISNUMBER(D40),ISNUMBER(D41),ISNUMBER(D42),ISNUMBER(D43),ISNUMBER(D44)),IF(AF39=4,AC39,IF(AF40=4,AC40,IF(AF41=4,AC41,IF(AF42=4,AC42,"")))),"")</f>
        <v>9</v>
      </c>
      <c r="T42" s="3">
        <f>IF(AND(ISNUMBER(D39),ISNUMBER(D40),ISNUMBER(D41),ISNUMBER(D42),ISNUMBER(D43),ISNUMBER(D44)),IF(AF39=4,AD39,IF(AF40=4,AD40,IF(AF41=4,AD41,IF(AF42=4,AD42,"")))),"")</f>
        <v>-7</v>
      </c>
      <c r="U42" s="3">
        <f>IF(AND(ISNUMBER(D39),ISNUMBER(D40),ISNUMBER(D41),ISNUMBER(D42),ISNUMBER(D43),ISNUMBER(D44)),IF(AF39=4,AE39,IF(AF40=4,AE40,IF(AF41=4,AE41,IF(AF42=4,AE42,"")))),"")</f>
        <v>1</v>
      </c>
      <c r="W42" t="s">
        <v>93</v>
      </c>
      <c r="X42">
        <f>((C39="Ecuador")*ISNUMBER(D39))+((G39="Ecuador")*ISNUMBER(D39))+((C40="Ecuador")*ISNUMBER(D40))+((G40="Ecuador")*ISNUMBER(D40))+((C41="Ecuador")*ISNUMBER(D41))+((G41="Ecuador")*ISNUMBER(D41))+((C42="Ecuador")*ISNUMBER(D42))+((G42="Ecuador")*ISNUMBER(D42))+((C43="Ecuador")*ISNUMBER(D43))+((G43="Ecuador")*ISNUMBER(D43))+((C44="Ecuador")*ISNUMBER(D44))+((G44="Ecuador")*ISNUMBER(D44))</f>
        <v>3</v>
      </c>
      <c r="Y42">
        <f>((C39="Ecuador")*ISNUMBER(D39)*(D39&gt;F39))+((G39="Ecuador")*ISNUMBER(D39)*(F39&gt;D39))+((C40="Ecuador")*ISNUMBER(D40)*(D40&gt;F40))+((G40="Ecuador")*ISNUMBER(D40)*(F40&gt;D40))+((C41="Ecuador")*ISNUMBER(D41)*(D41&gt;F41))+((G41="Ecuador")*ISNUMBER(D41)*(F41&gt;D41))+((C42="Ecuador")*ISNUMBER(D42)*(D42&gt;F42))+((G42="Ecuador")*ISNUMBER(D42)*(F42&gt;D42))+((C43="Ecuador")*ISNUMBER(D43)*(D43&gt;F43))+((G43="Ecuador")*ISNUMBER(D43)*(F43&gt;D43))+((C44="Ecuador")*ISNUMBER(D44)*(D44&gt;F44))+((G44="Ecuador")*ISNUMBER(D44)*(F44&gt;D44))</f>
        <v>1</v>
      </c>
      <c r="Z42">
        <f>((C39="Ecuador")*ISNUMBER(D39)*(D39=F39))+((G39="Ecuador")*ISNUMBER(D39)*(F39=D39))+((C40="Ecuador")*ISNUMBER(D40)*(D40=F40))+((G40="Ecuador")*ISNUMBER(D40)*(F40=D40))+((C41="Ecuador")*ISNUMBER(D41)*(D41=F41))+((G41="Ecuador")*ISNUMBER(D41)*(F41=D41))+((C42="Ecuador")*ISNUMBER(D42)*(D42=F42))+((G42="Ecuador")*ISNUMBER(D42)*(F42=D42))+((C43="Ecuador")*ISNUMBER(D43)*(D43=F43))+((G43="Ecuador")*ISNUMBER(D43)*(F43=D43))+((C44="Ecuador")*ISNUMBER(D44)*(D44=F44))+((G44="Ecuador")*ISNUMBER(D44)*(F44=D44))</f>
        <v>0</v>
      </c>
      <c r="AA42">
        <f>((C39="Ecuador")*ISNUMBER(D39)*(D39&lt;F39))+((G39="Ecuador")*ISNUMBER(D39)*(F39&lt;D39))+((C40="Ecuador")*ISNUMBER(D40)*(D40&lt;F40))+((G40="Ecuador")*ISNUMBER(D40)*(F40&lt;D40))+((C41="Ecuador")*ISNUMBER(D41)*(D41&lt;F41))+((G41="Ecuador")*ISNUMBER(D41)*(F41&lt;D41))+((C42="Ecuador")*ISNUMBER(D42)*(D42&lt;F42))+((G42="Ecuador")*ISNUMBER(D42)*(F42&lt;D42))+((C43="Ecuador")*ISNUMBER(D43)*(D43&lt;F43))+((G43="Ecuador")*ISNUMBER(D43)*(F43&lt;D43))+((C44="Ecuador")*ISNUMBER(D44)*(D44&lt;F44))+((G44="Ecuador")*ISNUMBER(D44)*(F44&lt;D44))</f>
        <v>2</v>
      </c>
      <c r="AB42">
        <f>IF((C39="Ecuador")*ISNUMBER(D39),D39,0)+IF((G39="Ecuador")*ISNUMBER(D39),F39,0)+IF((C40="Ecuador")*ISNUMBER(D40),D40,0)+IF((G40="Ecuador")*ISNUMBER(D40),F40,0)+IF((C41="Ecuador")*ISNUMBER(D41),D41,0)+IF((G41="Ecuador")*ISNUMBER(D41),F41,0)+IF((C42="Ecuador")*ISNUMBER(D42),D42,0)+IF((G42="Ecuador")*ISNUMBER(D42),F42,0)+IF((C43="Ecuador")*ISNUMBER(D43),D43,0)+IF((G43="Ecuador")*ISNUMBER(D43),F43,0)+IF((C44="Ecuador")*ISNUMBER(D44),D44,0)+IF((G44="Ecuador")*ISNUMBER(D44),F44,0)</f>
        <v>7</v>
      </c>
      <c r="AC42">
        <f>IF((C39="Ecuador")*ISNUMBER(D39),F39,0)+IF((G39="Ecuador")*ISNUMBER(D39),D39,0)+IF((C40="Ecuador")*ISNUMBER(D40),F40,0)+IF((G40="Ecuador")*ISNUMBER(D40),D40,0)+IF((C41="Ecuador")*ISNUMBER(D41),F41,0)+IF((G41="Ecuador")*ISNUMBER(D41),D41,0)+IF((C42="Ecuador")*ISNUMBER(D42),F42,0)+IF((G42="Ecuador")*ISNUMBER(D42),D42,0)+IF((C43="Ecuador")*ISNUMBER(D43),F43,0)+IF((G43="Ecuador")*ISNUMBER(D43),D43,0)+IF((C44="Ecuador")*ISNUMBER(D44),F44,0)+IF((G44="Ecuador")*ISNUMBER(D44),D44,0)</f>
        <v>8</v>
      </c>
      <c r="AD42">
        <f>AB42-AC42</f>
        <v>-1</v>
      </c>
      <c r="AE42">
        <f>3*Y42+Z42</f>
        <v>3</v>
      </c>
      <c r="AF42">
        <f>1+((AE39&gt;AE42)+(AE39=AE42)*(AD39&gt;AD42)+(AE39=AE42)*(AD39=AD42)*(AB39&gt;AB42)&gt;0)*1+((AE40&gt;AE42)+(AE40=AE42)*(AD40&gt;AD42)+(AE40=AE42)*(AD40=AD42)*(AB40&gt;AB42)&gt;0)*1+((AE41&gt;AE42)+(AE41=AE42)*(AD41&gt;AD42)+(AE41=AE42)*(AD41=AD42)*(AB41&gt;AB42)&gt;0)*1</f>
        <v>3</v>
      </c>
    </row>
    <row r="43" spans="1:32" ht="16.5" customHeight="1" x14ac:dyDescent="0.3">
      <c r="A43" s="3">
        <v>29</v>
      </c>
      <c r="B43" s="3" t="s">
        <v>87</v>
      </c>
      <c r="C43" s="4" t="s">
        <v>89</v>
      </c>
      <c r="D43" s="5">
        <v>1</v>
      </c>
      <c r="E43" s="3" t="s">
        <v>29</v>
      </c>
      <c r="F43" s="5">
        <v>1</v>
      </c>
      <c r="G43" s="4" t="s">
        <v>92</v>
      </c>
      <c r="H43" s="3" t="s">
        <v>46</v>
      </c>
      <c r="I43" s="3" t="s">
        <v>96</v>
      </c>
      <c r="J43" s="4" t="s">
        <v>74</v>
      </c>
      <c r="K43" s="6" t="s">
        <v>34</v>
      </c>
    </row>
    <row r="44" spans="1:32" ht="16.5" customHeight="1" x14ac:dyDescent="0.3">
      <c r="A44" s="7">
        <v>30</v>
      </c>
      <c r="B44" s="7" t="s">
        <v>87</v>
      </c>
      <c r="C44" s="8" t="s">
        <v>93</v>
      </c>
      <c r="D44" s="5">
        <v>3</v>
      </c>
      <c r="E44" s="7" t="s">
        <v>29</v>
      </c>
      <c r="F44" s="5">
        <v>4</v>
      </c>
      <c r="G44" s="8" t="s">
        <v>88</v>
      </c>
      <c r="H44" s="7" t="s">
        <v>46</v>
      </c>
      <c r="I44" s="7" t="s">
        <v>96</v>
      </c>
      <c r="J44" s="8" t="s">
        <v>69</v>
      </c>
      <c r="K44" s="6" t="s">
        <v>34</v>
      </c>
    </row>
    <row r="45" spans="1:32" ht="18.75" customHeight="1" x14ac:dyDescent="0.3">
      <c r="A45" s="56" t="s">
        <v>100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M45" s="57" t="s">
        <v>101</v>
      </c>
      <c r="N45" s="57"/>
      <c r="O45" s="57"/>
      <c r="P45" s="57"/>
      <c r="Q45" s="57"/>
      <c r="R45" s="57"/>
      <c r="S45" s="57"/>
      <c r="T45" s="57"/>
      <c r="U45" s="57"/>
    </row>
    <row r="46" spans="1:32" ht="15.75" customHeight="1" x14ac:dyDescent="0.3">
      <c r="A46" s="1" t="s">
        <v>8</v>
      </c>
      <c r="B46" s="1" t="s">
        <v>9</v>
      </c>
      <c r="C46" s="1" t="s">
        <v>10</v>
      </c>
      <c r="D46" s="1" t="s">
        <v>11</v>
      </c>
      <c r="E46" s="1"/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M46" s="2" t="s">
        <v>18</v>
      </c>
      <c r="N46" s="2" t="s">
        <v>19</v>
      </c>
      <c r="O46" s="2" t="s">
        <v>20</v>
      </c>
      <c r="P46" s="2" t="s">
        <v>21</v>
      </c>
      <c r="Q46" s="2" t="s">
        <v>22</v>
      </c>
      <c r="R46" s="2" t="s">
        <v>23</v>
      </c>
      <c r="S46" s="2" t="s">
        <v>24</v>
      </c>
      <c r="T46" s="2" t="s">
        <v>25</v>
      </c>
      <c r="U46" s="2" t="s">
        <v>26</v>
      </c>
    </row>
    <row r="47" spans="1:32" ht="16.5" customHeight="1" x14ac:dyDescent="0.3">
      <c r="A47" s="3">
        <v>31</v>
      </c>
      <c r="B47" s="3" t="s">
        <v>102</v>
      </c>
      <c r="C47" s="4" t="s">
        <v>103</v>
      </c>
      <c r="D47" s="5">
        <v>2</v>
      </c>
      <c r="E47" s="3" t="s">
        <v>29</v>
      </c>
      <c r="F47" s="5">
        <v>0</v>
      </c>
      <c r="G47" s="4" t="s">
        <v>104</v>
      </c>
      <c r="H47" s="3" t="s">
        <v>68</v>
      </c>
      <c r="I47" s="3" t="s">
        <v>96</v>
      </c>
      <c r="J47" s="4" t="s">
        <v>105</v>
      </c>
      <c r="K47" s="6" t="s">
        <v>34</v>
      </c>
      <c r="M47" s="4" t="str">
        <f>IF(AND(ISNUMBER(D47),ISNUMBER(D48),ISNUMBER(D49),ISNUMBER(D50),ISNUMBER(D51),ISNUMBER(D52)),IF(AF47=1,W47,IF(AF48=1,W48,IF(AF49=1,W49,IF(AF50=1,W50,"")))),"")</f>
        <v>Nederland</v>
      </c>
      <c r="N47" s="3">
        <f>IF(AND(ISNUMBER(D47),ISNUMBER(D48),ISNUMBER(D49),ISNUMBER(D50),ISNUMBER(D51),ISNUMBER(D52)),IF(AF47=1,X47,IF(AF48=1,X48,IF(AF49=1,X49,IF(AF50=1,X50,"")))),"")</f>
        <v>3</v>
      </c>
      <c r="O47" s="3">
        <f>IF(AND(ISNUMBER(D47),ISNUMBER(D48),ISNUMBER(D49),ISNUMBER(D50),ISNUMBER(D51),ISNUMBER(D52)),IF(AF47=1,Y47,IF(AF48=1,Y48,IF(AF49=1,Y49,IF(AF50=1,Y50,"")))),"")</f>
        <v>3</v>
      </c>
      <c r="P47" s="3">
        <f>IF(AND(ISNUMBER(D47),ISNUMBER(D48),ISNUMBER(D49),ISNUMBER(D50),ISNUMBER(D51),ISNUMBER(D52)),IF(AF47=1,Z47,IF(AF48=1,Z48,IF(AF49=1,Z49,IF(AF50=1,Z50,"")))),"")</f>
        <v>0</v>
      </c>
      <c r="Q47" s="3">
        <f>IF(AND(ISNUMBER(D47),ISNUMBER(D48),ISNUMBER(D49),ISNUMBER(D50),ISNUMBER(D51),ISNUMBER(D52)),IF(AF47=1,AA47,IF(AF48=1,AA48,IF(AF49=1,AA49,IF(AF50=1,AA50,"")))),"")</f>
        <v>0</v>
      </c>
      <c r="R47" s="3">
        <f>IF(AND(ISNUMBER(D47),ISNUMBER(D48),ISNUMBER(D49),ISNUMBER(D50),ISNUMBER(D51),ISNUMBER(D52)),IF(AF47=1,AB47,IF(AF48=1,AB48,IF(AF49=1,AB49,IF(AF50=1,AB50,"")))),"")</f>
        <v>7</v>
      </c>
      <c r="S47" s="3">
        <f>IF(AND(ISNUMBER(D47),ISNUMBER(D48),ISNUMBER(D49),ISNUMBER(D50),ISNUMBER(D51),ISNUMBER(D52)),IF(AF47=1,AC47,IF(AF48=1,AC48,IF(AF49=1,AC49,IF(AF50=1,AC50,"")))),"")</f>
        <v>2</v>
      </c>
      <c r="T47" s="3">
        <f>IF(AND(ISNUMBER(D47),ISNUMBER(D48),ISNUMBER(D49),ISNUMBER(D50),ISNUMBER(D51),ISNUMBER(D52)),IF(AF47=1,AD47,IF(AF48=1,AD48,IF(AF49=1,AD49,IF(AF50=1,AD50,"")))),"")</f>
        <v>5</v>
      </c>
      <c r="U47" s="3">
        <f>IF(AND(ISNUMBER(D47),ISNUMBER(D48),ISNUMBER(D49),ISNUMBER(D50),ISNUMBER(D51),ISNUMBER(D52)),IF(AF47=1,AE47,IF(AF48=1,AE48,IF(AF49=1,AE49,IF(AF50=1,AE50,"")))),"")</f>
        <v>9</v>
      </c>
      <c r="W47" t="s">
        <v>103</v>
      </c>
      <c r="X47">
        <f>((C47="Nederland")*ISNUMBER(D47))+((G47="Nederland")*ISNUMBER(D47))+((C48="Nederland")*ISNUMBER(D48))+((G48="Nederland")*ISNUMBER(D48))+((C49="Nederland")*ISNUMBER(D49))+((G49="Nederland")*ISNUMBER(D49))+((C50="Nederland")*ISNUMBER(D50))+((G50="Nederland")*ISNUMBER(D50))+((C51="Nederland")*ISNUMBER(D51))+((G51="Nederland")*ISNUMBER(D51))+((C52="Nederland")*ISNUMBER(D52))+((G52="Nederland")*ISNUMBER(D52))</f>
        <v>3</v>
      </c>
      <c r="Y47">
        <f>((C47="Nederland")*ISNUMBER(D47)*(D47&gt;F47))+((G47="Nederland")*ISNUMBER(D47)*(F47&gt;D47))+((C48="Nederland")*ISNUMBER(D48)*(D48&gt;F48))+((G48="Nederland")*ISNUMBER(D48)*(F48&gt;D48))+((C49="Nederland")*ISNUMBER(D49)*(D49&gt;F49))+((G49="Nederland")*ISNUMBER(D49)*(F49&gt;D49))+((C50="Nederland")*ISNUMBER(D50)*(D50&gt;F50))+((G50="Nederland")*ISNUMBER(D50)*(F50&gt;D50))+((C51="Nederland")*ISNUMBER(D51)*(D51&gt;F51))+((G51="Nederland")*ISNUMBER(D51)*(F51&gt;D51))+((C52="Nederland")*ISNUMBER(D52)*(D52&gt;F52))+((G52="Nederland")*ISNUMBER(D52)*(F52&gt;D52))</f>
        <v>3</v>
      </c>
      <c r="Z47">
        <f>((C47="Nederland")*ISNUMBER(D47)*(D47=F47))+((G47="Nederland")*ISNUMBER(D47)*(F47=D47))+((C48="Nederland")*ISNUMBER(D48)*(D48=F48))+((G48="Nederland")*ISNUMBER(D48)*(F48=D48))+((C49="Nederland")*ISNUMBER(D49)*(D49=F49))+((G49="Nederland")*ISNUMBER(D49)*(F49=D49))+((C50="Nederland")*ISNUMBER(D50)*(D50=F50))+((G50="Nederland")*ISNUMBER(D50)*(F50=D50))+((C51="Nederland")*ISNUMBER(D51)*(D51=F51))+((G51="Nederland")*ISNUMBER(D51)*(F51=D51))+((C52="Nederland")*ISNUMBER(D52)*(D52=F52))+((G52="Nederland")*ISNUMBER(D52)*(F52=D52))</f>
        <v>0</v>
      </c>
      <c r="AA47">
        <f>((C47="Nederland")*ISNUMBER(D47)*(D47&lt;F47))+((G47="Nederland")*ISNUMBER(D47)*(F47&lt;D47))+((C48="Nederland")*ISNUMBER(D48)*(D48&lt;F48))+((G48="Nederland")*ISNUMBER(D48)*(F48&lt;D48))+((C49="Nederland")*ISNUMBER(D49)*(D49&lt;F49))+((G49="Nederland")*ISNUMBER(D49)*(F49&lt;D49))+((C50="Nederland")*ISNUMBER(D50)*(D50&lt;F50))+((G50="Nederland")*ISNUMBER(D50)*(F50&lt;D50))+((C51="Nederland")*ISNUMBER(D51)*(D51&lt;F51))+((G51="Nederland")*ISNUMBER(D51)*(F51&lt;D51))+((C52="Nederland")*ISNUMBER(D52)*(D52&lt;F52))+((G52="Nederland")*ISNUMBER(D52)*(F52&lt;D52))</f>
        <v>0</v>
      </c>
      <c r="AB47">
        <f>IF((C47="Nederland")*ISNUMBER(D47),D47,0)+IF((G47="Nederland")*ISNUMBER(D47),F47,0)+IF((C48="Nederland")*ISNUMBER(D48),D48,0)+IF((G48="Nederland")*ISNUMBER(D48),F48,0)+IF((C49="Nederland")*ISNUMBER(D49),D49,0)+IF((G49="Nederland")*ISNUMBER(D49),F49,0)+IF((C50="Nederland")*ISNUMBER(D50),D50,0)+IF((G50="Nederland")*ISNUMBER(D50),F50,0)+IF((C51="Nederland")*ISNUMBER(D51),D51,0)+IF((G51="Nederland")*ISNUMBER(D51),F51,0)+IF((C52="Nederland")*ISNUMBER(D52),D52,0)+IF((G52="Nederland")*ISNUMBER(D52),F52,0)</f>
        <v>7</v>
      </c>
      <c r="AC47">
        <f>IF((C47="Nederland")*ISNUMBER(D47),F47,0)+IF((G47="Nederland")*ISNUMBER(D47),D47,0)+IF((C48="Nederland")*ISNUMBER(D48),F48,0)+IF((G48="Nederland")*ISNUMBER(D48),D48,0)+IF((C49="Nederland")*ISNUMBER(D49),F49,0)+IF((G49="Nederland")*ISNUMBER(D49),D49,0)+IF((C50="Nederland")*ISNUMBER(D50),F50,0)+IF((G50="Nederland")*ISNUMBER(D50),D50,0)+IF((C51="Nederland")*ISNUMBER(D51),F51,0)+IF((G51="Nederland")*ISNUMBER(D51),D51,0)+IF((C52="Nederland")*ISNUMBER(D52),F52,0)+IF((G52="Nederland")*ISNUMBER(D52),D52,0)</f>
        <v>2</v>
      </c>
      <c r="AD47">
        <f>AB47-AC47</f>
        <v>5</v>
      </c>
      <c r="AE47">
        <f>3*Y47+Z47</f>
        <v>9</v>
      </c>
      <c r="AF47">
        <f>1+((AE48&gt;AE47)+(AE48=AE47)*(AD48&gt;AD47)+(AE48=AE47)*(AD48=AD47)*(AB48&gt;AB47)&gt;0)*1+((AE49&gt;AE47)+(AE49=AE47)*(AD49&gt;AD47)+(AE49=AE47)*(AD49=AD47)*(AB49&gt;AB47)&gt;0)*1+((AE50&gt;AE47)+(AE50=AE47)*(AD50&gt;AD47)+(AE50=AE47)*(AD50=AD47)*(AB50&gt;AB47)&gt;0)*1</f>
        <v>1</v>
      </c>
    </row>
    <row r="48" spans="1:32" ht="16.5" customHeight="1" x14ac:dyDescent="0.3">
      <c r="A48" s="7">
        <v>32</v>
      </c>
      <c r="B48" s="7" t="s">
        <v>102</v>
      </c>
      <c r="C48" s="8" t="s">
        <v>106</v>
      </c>
      <c r="D48" s="5">
        <v>1</v>
      </c>
      <c r="E48" s="7" t="s">
        <v>29</v>
      </c>
      <c r="F48" s="5">
        <v>1</v>
      </c>
      <c r="G48" s="8" t="s">
        <v>107</v>
      </c>
      <c r="H48" s="7" t="s">
        <v>94</v>
      </c>
      <c r="I48" s="7" t="s">
        <v>38</v>
      </c>
      <c r="J48" s="8" t="s">
        <v>47</v>
      </c>
      <c r="K48" s="6" t="s">
        <v>34</v>
      </c>
      <c r="M48" s="4" t="str">
        <f>IF(AND(ISNUMBER(D47),ISNUMBER(D48),ISNUMBER(D49),ISNUMBER(D50),ISNUMBER(D51),ISNUMBER(D52)),IF(AF47=2,W47,IF(AF48=2,W48,IF(AF49=2,W49,IF(AF50=2,W50,"")))),"")</f>
        <v>Sverige</v>
      </c>
      <c r="N48" s="3">
        <f>IF(AND(ISNUMBER(D47),ISNUMBER(D48),ISNUMBER(D49),ISNUMBER(D50),ISNUMBER(D51),ISNUMBER(D52)),IF(AF47=2,X47,IF(AF48=2,X48,IF(AF49=2,X49,IF(AF50=2,X50,"")))),"")</f>
        <v>3</v>
      </c>
      <c r="O48" s="3">
        <f>IF(AND(ISNUMBER(D47),ISNUMBER(D48),ISNUMBER(D49),ISNUMBER(D50),ISNUMBER(D51),ISNUMBER(D52)),IF(AF47=2,Y47,IF(AF48=2,Y48,IF(AF49=2,Y49,IF(AF50=2,Y50,"")))),"")</f>
        <v>1</v>
      </c>
      <c r="P48" s="3">
        <f>IF(AND(ISNUMBER(D47),ISNUMBER(D48),ISNUMBER(D49),ISNUMBER(D50),ISNUMBER(D51),ISNUMBER(D52)),IF(AF47=2,Z47,IF(AF48=2,Z48,IF(AF49=2,Z49,IF(AF50=2,Z50,"")))),"")</f>
        <v>1</v>
      </c>
      <c r="Q48" s="3">
        <f>IF(AND(ISNUMBER(D47),ISNUMBER(D48),ISNUMBER(D49),ISNUMBER(D50),ISNUMBER(D51),ISNUMBER(D52)),IF(AF47=2,AA47,IF(AF48=2,AA48,IF(AF49=2,AA49,IF(AF50=2,AA50,"")))),"")</f>
        <v>1</v>
      </c>
      <c r="R48" s="3">
        <f>IF(AND(ISNUMBER(D47),ISNUMBER(D48),ISNUMBER(D49),ISNUMBER(D50),ISNUMBER(D51),ISNUMBER(D52)),IF(AF47=2,AB47,IF(AF48=2,AB48,IF(AF49=2,AB49,IF(AF50=2,AB50,"")))),"")</f>
        <v>4</v>
      </c>
      <c r="S48" s="3">
        <f>IF(AND(ISNUMBER(D47),ISNUMBER(D48),ISNUMBER(D49),ISNUMBER(D50),ISNUMBER(D51),ISNUMBER(D52)),IF(AF47=2,AC47,IF(AF48=2,AC48,IF(AF49=2,AC49,IF(AF50=2,AC50,"")))),"")</f>
        <v>4</v>
      </c>
      <c r="T48" s="3">
        <f>IF(AND(ISNUMBER(D47),ISNUMBER(D48),ISNUMBER(D49),ISNUMBER(D50),ISNUMBER(D51),ISNUMBER(D52)),IF(AF47=2,AD47,IF(AF48=2,AD48,IF(AF49=2,AD49,IF(AF50=2,AD50,"")))),"")</f>
        <v>0</v>
      </c>
      <c r="U48" s="3">
        <f>IF(AND(ISNUMBER(D47),ISNUMBER(D48),ISNUMBER(D49),ISNUMBER(D50),ISNUMBER(D51),ISNUMBER(D52)),IF(AF47=2,AE47,IF(AF48=2,AE48,IF(AF49=2,AE49,IF(AF50=2,AE50,"")))),"")</f>
        <v>4</v>
      </c>
      <c r="W48" t="s">
        <v>104</v>
      </c>
      <c r="X48">
        <f>((C47="Japan")*ISNUMBER(D47))+((G47="Japan")*ISNUMBER(D47))+((C48="Japan")*ISNUMBER(D48))+((G48="Japan")*ISNUMBER(D48))+((C49="Japan")*ISNUMBER(D49))+((G49="Japan")*ISNUMBER(D49))+((C50="Japan")*ISNUMBER(D50))+((G50="Japan")*ISNUMBER(D50))+((C51="Japan")*ISNUMBER(D51))+((G51="Japan")*ISNUMBER(D51))+((C52="Japan")*ISNUMBER(D52))+((G52="Japan")*ISNUMBER(D52))</f>
        <v>3</v>
      </c>
      <c r="Y48">
        <f>((C47="Japan")*ISNUMBER(D47)*(D47&gt;F47))+((G47="Japan")*ISNUMBER(D47)*(F47&gt;D47))+((C48="Japan")*ISNUMBER(D48)*(D48&gt;F48))+((G48="Japan")*ISNUMBER(D48)*(F48&gt;D48))+((C49="Japan")*ISNUMBER(D49)*(D49&gt;F49))+((G49="Japan")*ISNUMBER(D49)*(F49&gt;D49))+((C50="Japan")*ISNUMBER(D50)*(D50&gt;F50))+((G50="Japan")*ISNUMBER(D50)*(F50&gt;D50))+((C51="Japan")*ISNUMBER(D51)*(D51&gt;F51))+((G51="Japan")*ISNUMBER(D51)*(F51&gt;D51))+((C52="Japan")*ISNUMBER(D52)*(D52&gt;F52))+((G52="Japan")*ISNUMBER(D52)*(F52&gt;D52))</f>
        <v>0</v>
      </c>
      <c r="Z48">
        <f>((C47="Japan")*ISNUMBER(D47)*(D47=F47))+((G47="Japan")*ISNUMBER(D47)*(F47=D47))+((C48="Japan")*ISNUMBER(D48)*(D48=F48))+((G48="Japan")*ISNUMBER(D48)*(F48=D48))+((C49="Japan")*ISNUMBER(D49)*(D49=F49))+((G49="Japan")*ISNUMBER(D49)*(F49=D49))+((C50="Japan")*ISNUMBER(D50)*(D50=F50))+((G50="Japan")*ISNUMBER(D50)*(F50=D50))+((C51="Japan")*ISNUMBER(D51)*(D51=F51))+((G51="Japan")*ISNUMBER(D51)*(F51=D51))+((C52="Japan")*ISNUMBER(D52)*(D52=F52))+((G52="Japan")*ISNUMBER(D52)*(F52=D52))</f>
        <v>1</v>
      </c>
      <c r="AA48">
        <f>((C47="Japan")*ISNUMBER(D47)*(D47&lt;F47))+((G47="Japan")*ISNUMBER(D47)*(F47&lt;D47))+((C48="Japan")*ISNUMBER(D48)*(D48&lt;F48))+((G48="Japan")*ISNUMBER(D48)*(F48&lt;D48))+((C49="Japan")*ISNUMBER(D49)*(D49&lt;F49))+((G49="Japan")*ISNUMBER(D49)*(F49&lt;D49))+((C50="Japan")*ISNUMBER(D50)*(D50&lt;F50))+((G50="Japan")*ISNUMBER(D50)*(F50&lt;D50))+((C51="Japan")*ISNUMBER(D51)*(D51&lt;F51))+((G51="Japan")*ISNUMBER(D51)*(F51&lt;D51))+((C52="Japan")*ISNUMBER(D52)*(D52&lt;F52))+((G52="Japan")*ISNUMBER(D52)*(F52&lt;D52))</f>
        <v>2</v>
      </c>
      <c r="AB48">
        <f>IF((C47="Japan")*ISNUMBER(D47),D47,0)+IF((G47="Japan")*ISNUMBER(D47),F47,0)+IF((C48="Japan")*ISNUMBER(D48),D48,0)+IF((G48="Japan")*ISNUMBER(D48),F48,0)+IF((C49="Japan")*ISNUMBER(D49),D49,0)+IF((G49="Japan")*ISNUMBER(D49),F49,0)+IF((C50="Japan")*ISNUMBER(D50),D50,0)+IF((G50="Japan")*ISNUMBER(D50),F50,0)+IF((C51="Japan")*ISNUMBER(D51),D51,0)+IF((G51="Japan")*ISNUMBER(D51),F51,0)+IF((C52="Japan")*ISNUMBER(D52),D52,0)+IF((G52="Japan")*ISNUMBER(D52),F52,0)</f>
        <v>1</v>
      </c>
      <c r="AC48">
        <f>IF((C47="Japan")*ISNUMBER(D47),F47,0)+IF((G47="Japan")*ISNUMBER(D47),D47,0)+IF((C48="Japan")*ISNUMBER(D48),F48,0)+IF((G48="Japan")*ISNUMBER(D48),D48,0)+IF((C49="Japan")*ISNUMBER(D49),F49,0)+IF((G49="Japan")*ISNUMBER(D49),D49,0)+IF((C50="Japan")*ISNUMBER(D50),F50,0)+IF((G50="Japan")*ISNUMBER(D50),D50,0)+IF((C51="Japan")*ISNUMBER(D51),F51,0)+IF((G51="Japan")*ISNUMBER(D51),D51,0)+IF((C52="Japan")*ISNUMBER(D52),F52,0)+IF((G52="Japan")*ISNUMBER(D52),D52,0)</f>
        <v>4</v>
      </c>
      <c r="AD48">
        <f>AB48-AC48</f>
        <v>-3</v>
      </c>
      <c r="AE48">
        <f>3*Y48+Z48</f>
        <v>1</v>
      </c>
      <c r="AF48">
        <f>1+((AE47&gt;AE48)+(AE47=AE48)*(AD47&gt;AD48)+(AE47=AE48)*(AD47=AD48)*(AB47&gt;AB48)&gt;0)*1+((AE49&gt;AE48)+(AE49=AE48)*(AD49&gt;AD48)+(AE49=AE48)*(AD49=AD48)*(AB49&gt;AB48)&gt;0)*1+((AE50&gt;AE48)+(AE50=AE48)*(AD50&gt;AD48)+(AE50=AE48)*(AD50=AD48)*(AB50&gt;AB48)&gt;0)*1</f>
        <v>4</v>
      </c>
    </row>
    <row r="49" spans="1:32" ht="16.5" customHeight="1" x14ac:dyDescent="0.3">
      <c r="A49" s="3">
        <v>33</v>
      </c>
      <c r="B49" s="3" t="s">
        <v>102</v>
      </c>
      <c r="C49" s="4" t="s">
        <v>103</v>
      </c>
      <c r="D49" s="5">
        <v>2</v>
      </c>
      <c r="E49" s="3" t="s">
        <v>29</v>
      </c>
      <c r="F49" s="5">
        <v>1</v>
      </c>
      <c r="G49" s="4" t="s">
        <v>106</v>
      </c>
      <c r="H49" s="3" t="s">
        <v>73</v>
      </c>
      <c r="I49" s="3" t="s">
        <v>90</v>
      </c>
      <c r="J49" s="4" t="s">
        <v>91</v>
      </c>
      <c r="K49" s="9" t="s">
        <v>40</v>
      </c>
      <c r="M49" s="4" t="str">
        <f>IF(AND(ISNUMBER(D47),ISNUMBER(D48),ISNUMBER(D49),ISNUMBER(D50),ISNUMBER(D51),ISNUMBER(D52)),IF(AF47=3,W47,IF(AF48=3,W48,IF(AF49=3,W49,IF(AF50=3,W50,"")))),"")</f>
        <v>Tunisia</v>
      </c>
      <c r="N49" s="3">
        <f>IF(AND(ISNUMBER(D47),ISNUMBER(D48),ISNUMBER(D49),ISNUMBER(D50),ISNUMBER(D51),ISNUMBER(D52)),IF(AF47=3,X47,IF(AF48=3,X48,IF(AF49=3,X49,IF(AF50=3,X50,"")))),"")</f>
        <v>3</v>
      </c>
      <c r="O49" s="3">
        <f>IF(AND(ISNUMBER(D47),ISNUMBER(D48),ISNUMBER(D49),ISNUMBER(D50),ISNUMBER(D51),ISNUMBER(D52)),IF(AF47=3,Y47,IF(AF48=3,Y48,IF(AF49=3,Y49,IF(AF50=3,Y50,"")))),"")</f>
        <v>0</v>
      </c>
      <c r="P49" s="3">
        <f>IF(AND(ISNUMBER(D47),ISNUMBER(D48),ISNUMBER(D49),ISNUMBER(D50),ISNUMBER(D51),ISNUMBER(D52)),IF(AF47=3,Z47,IF(AF48=3,Z48,IF(AF49=3,Z49,IF(AF50=3,Z50,"")))),"")</f>
        <v>2</v>
      </c>
      <c r="Q49" s="3">
        <f>IF(AND(ISNUMBER(D47),ISNUMBER(D48),ISNUMBER(D49),ISNUMBER(D50),ISNUMBER(D51),ISNUMBER(D52)),IF(AF47=3,AA47,IF(AF48=3,AA48,IF(AF49=3,AA49,IF(AF50=3,AA50,"")))),"")</f>
        <v>1</v>
      </c>
      <c r="R49" s="3">
        <f>IF(AND(ISNUMBER(D47),ISNUMBER(D48),ISNUMBER(D49),ISNUMBER(D50),ISNUMBER(D51),ISNUMBER(D52)),IF(AF47=3,AB47,IF(AF48=3,AB48,IF(AF49=3,AB49,IF(AF50=3,AB50,"")))),"")</f>
        <v>2</v>
      </c>
      <c r="S49" s="3">
        <f>IF(AND(ISNUMBER(D47),ISNUMBER(D48),ISNUMBER(D49),ISNUMBER(D50),ISNUMBER(D51),ISNUMBER(D52)),IF(AF47=3,AC47,IF(AF48=3,AC48,IF(AF49=3,AC49,IF(AF50=3,AC50,"")))),"")</f>
        <v>4</v>
      </c>
      <c r="T49" s="3">
        <f>IF(AND(ISNUMBER(D47),ISNUMBER(D48),ISNUMBER(D49),ISNUMBER(D50),ISNUMBER(D51),ISNUMBER(D52)),IF(AF47=3,AD47,IF(AF48=3,AD48,IF(AF49=3,AD49,IF(AF50=3,AD50,"")))),"")</f>
        <v>-2</v>
      </c>
      <c r="U49" s="3">
        <f>IF(AND(ISNUMBER(D47),ISNUMBER(D48),ISNUMBER(D49),ISNUMBER(D50),ISNUMBER(D51),ISNUMBER(D52)),IF(AF47=3,AE47,IF(AF48=3,AE48,IF(AF49=3,AE49,IF(AF50=3,AE50,"")))),"")</f>
        <v>2</v>
      </c>
      <c r="W49" t="s">
        <v>106</v>
      </c>
      <c r="X49">
        <f>((C47="Sverige")*ISNUMBER(D47))+((G47="Sverige")*ISNUMBER(D47))+((C48="Sverige")*ISNUMBER(D48))+((G48="Sverige")*ISNUMBER(D48))+((C49="Sverige")*ISNUMBER(D49))+((G49="Sverige")*ISNUMBER(D49))+((C50="Sverige")*ISNUMBER(D50))+((G50="Sverige")*ISNUMBER(D50))+((C51="Sverige")*ISNUMBER(D51))+((G51="Sverige")*ISNUMBER(D51))+((C52="Sverige")*ISNUMBER(D52))+((G52="Sverige")*ISNUMBER(D52))</f>
        <v>3</v>
      </c>
      <c r="Y49">
        <f>((C47="Sverige")*ISNUMBER(D47)*(D47&gt;F47))+((G47="Sverige")*ISNUMBER(D47)*(F47&gt;D47))+((C48="Sverige")*ISNUMBER(D48)*(D48&gt;F48))+((G48="Sverige")*ISNUMBER(D48)*(F48&gt;D48))+((C49="Sverige")*ISNUMBER(D49)*(D49&gt;F49))+((G49="Sverige")*ISNUMBER(D49)*(F49&gt;D49))+((C50="Sverige")*ISNUMBER(D50)*(D50&gt;F50))+((G50="Sverige")*ISNUMBER(D50)*(F50&gt;D50))+((C51="Sverige")*ISNUMBER(D51)*(D51&gt;F51))+((G51="Sverige")*ISNUMBER(D51)*(F51&gt;D51))+((C52="Sverige")*ISNUMBER(D52)*(D52&gt;F52))+((G52="Sverige")*ISNUMBER(D52)*(F52&gt;D52))</f>
        <v>1</v>
      </c>
      <c r="Z49">
        <f>((C47="Sverige")*ISNUMBER(D47)*(D47=F47))+((G47="Sverige")*ISNUMBER(D47)*(F47=D47))+((C48="Sverige")*ISNUMBER(D48)*(D48=F48))+((G48="Sverige")*ISNUMBER(D48)*(F48=D48))+((C49="Sverige")*ISNUMBER(D49)*(D49=F49))+((G49="Sverige")*ISNUMBER(D49)*(F49=D49))+((C50="Sverige")*ISNUMBER(D50)*(D50=F50))+((G50="Sverige")*ISNUMBER(D50)*(F50=D50))+((C51="Sverige")*ISNUMBER(D51)*(D51=F51))+((G51="Sverige")*ISNUMBER(D51)*(F51=D51))+((C52="Sverige")*ISNUMBER(D52)*(D52=F52))+((G52="Sverige")*ISNUMBER(D52)*(F52=D52))</f>
        <v>1</v>
      </c>
      <c r="AA49">
        <f>((C47="Sverige")*ISNUMBER(D47)*(D47&lt;F47))+((G47="Sverige")*ISNUMBER(D47)*(F47&lt;D47))+((C48="Sverige")*ISNUMBER(D48)*(D48&lt;F48))+((G48="Sverige")*ISNUMBER(D48)*(F48&lt;D48))+((C49="Sverige")*ISNUMBER(D49)*(D49&lt;F49))+((G49="Sverige")*ISNUMBER(D49)*(F49&lt;D49))+((C50="Sverige")*ISNUMBER(D50)*(D50&lt;F50))+((G50="Sverige")*ISNUMBER(D50)*(F50&lt;D50))+((C51="Sverige")*ISNUMBER(D51)*(D51&lt;F51))+((G51="Sverige")*ISNUMBER(D51)*(F51&lt;D51))+((C52="Sverige")*ISNUMBER(D52)*(D52&lt;F52))+((G52="Sverige")*ISNUMBER(D52)*(F52&lt;D52))</f>
        <v>1</v>
      </c>
      <c r="AB49">
        <f>IF((C47="Sverige")*ISNUMBER(D47),D47,0)+IF((G47="Sverige")*ISNUMBER(D47),F47,0)+IF((C48="Sverige")*ISNUMBER(D48),D48,0)+IF((G48="Sverige")*ISNUMBER(D48),F48,0)+IF((C49="Sverige")*ISNUMBER(D49),D49,0)+IF((G49="Sverige")*ISNUMBER(D49),F49,0)+IF((C50="Sverige")*ISNUMBER(D50),D50,0)+IF((G50="Sverige")*ISNUMBER(D50),F50,0)+IF((C51="Sverige")*ISNUMBER(D51),D51,0)+IF((G51="Sverige")*ISNUMBER(D51),F51,0)+IF((C52="Sverige")*ISNUMBER(D52),D52,0)+IF((G52="Sverige")*ISNUMBER(D52),F52,0)</f>
        <v>4</v>
      </c>
      <c r="AC49">
        <f>IF((C47="Sverige")*ISNUMBER(D47),F47,0)+IF((G47="Sverige")*ISNUMBER(D47),D47,0)+IF((C48="Sverige")*ISNUMBER(D48),F48,0)+IF((G48="Sverige")*ISNUMBER(D48),D48,0)+IF((C49="Sverige")*ISNUMBER(D49),F49,0)+IF((G49="Sverige")*ISNUMBER(D49),D49,0)+IF((C50="Sverige")*ISNUMBER(D50),F50,0)+IF((G50="Sverige")*ISNUMBER(D50),D50,0)+IF((C51="Sverige")*ISNUMBER(D51),F51,0)+IF((G51="Sverige")*ISNUMBER(D51),D51,0)+IF((C52="Sverige")*ISNUMBER(D52),F52,0)+IF((G52="Sverige")*ISNUMBER(D52),D52,0)</f>
        <v>4</v>
      </c>
      <c r="AD49">
        <f>AB49-AC49</f>
        <v>0</v>
      </c>
      <c r="AE49">
        <f>3*Y49+Z49</f>
        <v>4</v>
      </c>
      <c r="AF49">
        <f>1+((AE47&gt;AE49)+(AE47=AE49)*(AD47&gt;AD49)+(AE47=AE49)*(AD47=AD49)*(AB47&gt;AB49)&gt;0)*1+((AE48&gt;AE49)+(AE48=AE49)*(AD48&gt;AD49)+(AE48=AE49)*(AD48=AD49)*(AB48&gt;AB49)&gt;0)*1+((AE50&gt;AE49)+(AE50=AE49)*(AD50&gt;AD49)+(AE50=AE49)*(AD50=AD49)*(AB50&gt;AB49)&gt;0)*1</f>
        <v>2</v>
      </c>
    </row>
    <row r="50" spans="1:32" ht="16.5" customHeight="1" x14ac:dyDescent="0.3">
      <c r="A50" s="7">
        <v>34</v>
      </c>
      <c r="B50" s="7" t="s">
        <v>102</v>
      </c>
      <c r="C50" s="8" t="s">
        <v>107</v>
      </c>
      <c r="D50" s="5">
        <v>0</v>
      </c>
      <c r="E50" s="7" t="s">
        <v>29</v>
      </c>
      <c r="F50" s="5">
        <v>0</v>
      </c>
      <c r="G50" s="8" t="s">
        <v>104</v>
      </c>
      <c r="H50" s="7" t="s">
        <v>97</v>
      </c>
      <c r="I50" s="7" t="s">
        <v>83</v>
      </c>
      <c r="J50" s="8" t="s">
        <v>47</v>
      </c>
      <c r="K50" s="9" t="s">
        <v>40</v>
      </c>
      <c r="M50" s="4" t="str">
        <f>IF(AND(ISNUMBER(D47),ISNUMBER(D48),ISNUMBER(D49),ISNUMBER(D50),ISNUMBER(D51),ISNUMBER(D52)),IF(AF47=4,W47,IF(AF48=4,W48,IF(AF49=4,W49,IF(AF50=4,W50,"")))),"")</f>
        <v>Japan</v>
      </c>
      <c r="N50" s="3">
        <f>IF(AND(ISNUMBER(D47),ISNUMBER(D48),ISNUMBER(D49),ISNUMBER(D50),ISNUMBER(D51),ISNUMBER(D52)),IF(AF47=4,X47,IF(AF48=4,X48,IF(AF49=4,X49,IF(AF50=4,X50,"")))),"")</f>
        <v>3</v>
      </c>
      <c r="O50" s="3">
        <f>IF(AND(ISNUMBER(D47),ISNUMBER(D48),ISNUMBER(D49),ISNUMBER(D50),ISNUMBER(D51),ISNUMBER(D52)),IF(AF47=4,Y47,IF(AF48=4,Y48,IF(AF49=4,Y49,IF(AF50=4,Y50,"")))),"")</f>
        <v>0</v>
      </c>
      <c r="P50" s="3">
        <f>IF(AND(ISNUMBER(D47),ISNUMBER(D48),ISNUMBER(D49),ISNUMBER(D50),ISNUMBER(D51),ISNUMBER(D52)),IF(AF47=4,Z47,IF(AF48=4,Z48,IF(AF49=4,Z49,IF(AF50=4,Z50,"")))),"")</f>
        <v>1</v>
      </c>
      <c r="Q50" s="3">
        <f>IF(AND(ISNUMBER(D47),ISNUMBER(D48),ISNUMBER(D49),ISNUMBER(D50),ISNUMBER(D51),ISNUMBER(D52)),IF(AF47=4,AA47,IF(AF48=4,AA48,IF(AF49=4,AA49,IF(AF50=4,AA50,"")))),"")</f>
        <v>2</v>
      </c>
      <c r="R50" s="3">
        <f>IF(AND(ISNUMBER(D47),ISNUMBER(D48),ISNUMBER(D49),ISNUMBER(D50),ISNUMBER(D51),ISNUMBER(D52)),IF(AF47=4,AB47,IF(AF48=4,AB48,IF(AF49=4,AB49,IF(AF50=4,AB50,"")))),"")</f>
        <v>1</v>
      </c>
      <c r="S50" s="3">
        <f>IF(AND(ISNUMBER(D47),ISNUMBER(D48),ISNUMBER(D49),ISNUMBER(D50),ISNUMBER(D51),ISNUMBER(D52)),IF(AF47=4,AC47,IF(AF48=4,AC48,IF(AF49=4,AC49,IF(AF50=4,AC50,"")))),"")</f>
        <v>4</v>
      </c>
      <c r="T50" s="3">
        <f>IF(AND(ISNUMBER(D47),ISNUMBER(D48),ISNUMBER(D49),ISNUMBER(D50),ISNUMBER(D51),ISNUMBER(D52)),IF(AF47=4,AD47,IF(AF48=4,AD48,IF(AF49=4,AD49,IF(AF50=4,AD50,"")))),"")</f>
        <v>-3</v>
      </c>
      <c r="U50" s="3">
        <f>IF(AND(ISNUMBER(D47),ISNUMBER(D48),ISNUMBER(D49),ISNUMBER(D50),ISNUMBER(D51),ISNUMBER(D52)),IF(AF47=4,AE47,IF(AF48=4,AE48,IF(AF49=4,AE49,IF(AF50=4,AE50,"")))),"")</f>
        <v>1</v>
      </c>
      <c r="W50" t="s">
        <v>107</v>
      </c>
      <c r="X50">
        <f>((C47="Tunisia")*ISNUMBER(D47))+((G47="Tunisia")*ISNUMBER(D47))+((C48="Tunisia")*ISNUMBER(D48))+((G48="Tunisia")*ISNUMBER(D48))+((C49="Tunisia")*ISNUMBER(D49))+((G49="Tunisia")*ISNUMBER(D49))+((C50="Tunisia")*ISNUMBER(D50))+((G50="Tunisia")*ISNUMBER(D50))+((C51="Tunisia")*ISNUMBER(D51))+((G51="Tunisia")*ISNUMBER(D51))+((C52="Tunisia")*ISNUMBER(D52))+((G52="Tunisia")*ISNUMBER(D52))</f>
        <v>3</v>
      </c>
      <c r="Y50">
        <f>((C47="Tunisia")*ISNUMBER(D47)*(D47&gt;F47))+((G47="Tunisia")*ISNUMBER(D47)*(F47&gt;D47))+((C48="Tunisia")*ISNUMBER(D48)*(D48&gt;F48))+((G48="Tunisia")*ISNUMBER(D48)*(F48&gt;D48))+((C49="Tunisia")*ISNUMBER(D49)*(D49&gt;F49))+((G49="Tunisia")*ISNUMBER(D49)*(F49&gt;D49))+((C50="Tunisia")*ISNUMBER(D50)*(D50&gt;F50))+((G50="Tunisia")*ISNUMBER(D50)*(F50&gt;D50))+((C51="Tunisia")*ISNUMBER(D51)*(D51&gt;F51))+((G51="Tunisia")*ISNUMBER(D51)*(F51&gt;D51))+((C52="Tunisia")*ISNUMBER(D52)*(D52&gt;F52))+((G52="Tunisia")*ISNUMBER(D52)*(F52&gt;D52))</f>
        <v>0</v>
      </c>
      <c r="Z50">
        <f>((C47="Tunisia")*ISNUMBER(D47)*(D47=F47))+((G47="Tunisia")*ISNUMBER(D47)*(F47=D47))+((C48="Tunisia")*ISNUMBER(D48)*(D48=F48))+((G48="Tunisia")*ISNUMBER(D48)*(F48=D48))+((C49="Tunisia")*ISNUMBER(D49)*(D49=F49))+((G49="Tunisia")*ISNUMBER(D49)*(F49=D49))+((C50="Tunisia")*ISNUMBER(D50)*(D50=F50))+((G50="Tunisia")*ISNUMBER(D50)*(F50=D50))+((C51="Tunisia")*ISNUMBER(D51)*(D51=F51))+((G51="Tunisia")*ISNUMBER(D51)*(F51=D51))+((C52="Tunisia")*ISNUMBER(D52)*(D52=F52))+((G52="Tunisia")*ISNUMBER(D52)*(F52=D52))</f>
        <v>2</v>
      </c>
      <c r="AA50">
        <f>((C47="Tunisia")*ISNUMBER(D47)*(D47&lt;F47))+((G47="Tunisia")*ISNUMBER(D47)*(F47&lt;D47))+((C48="Tunisia")*ISNUMBER(D48)*(D48&lt;F48))+((G48="Tunisia")*ISNUMBER(D48)*(F48&lt;D48))+((C49="Tunisia")*ISNUMBER(D49)*(D49&lt;F49))+((G49="Tunisia")*ISNUMBER(D49)*(F49&lt;D49))+((C50="Tunisia")*ISNUMBER(D50)*(D50&lt;F50))+((G50="Tunisia")*ISNUMBER(D50)*(F50&lt;D50))+((C51="Tunisia")*ISNUMBER(D51)*(D51&lt;F51))+((G51="Tunisia")*ISNUMBER(D51)*(F51&lt;D51))+((C52="Tunisia")*ISNUMBER(D52)*(D52&lt;F52))+((G52="Tunisia")*ISNUMBER(D52)*(F52&lt;D52))</f>
        <v>1</v>
      </c>
      <c r="AB50">
        <f>IF((C47="Tunisia")*ISNUMBER(D47),D47,0)+IF((G47="Tunisia")*ISNUMBER(D47),F47,0)+IF((C48="Tunisia")*ISNUMBER(D48),D48,0)+IF((G48="Tunisia")*ISNUMBER(D48),F48,0)+IF((C49="Tunisia")*ISNUMBER(D49),D49,0)+IF((G49="Tunisia")*ISNUMBER(D49),F49,0)+IF((C50="Tunisia")*ISNUMBER(D50),D50,0)+IF((G50="Tunisia")*ISNUMBER(D50),F50,0)+IF((C51="Tunisia")*ISNUMBER(D51),D51,0)+IF((G51="Tunisia")*ISNUMBER(D51),F51,0)+IF((C52="Tunisia")*ISNUMBER(D52),D52,0)+IF((G52="Tunisia")*ISNUMBER(D52),F52,0)</f>
        <v>2</v>
      </c>
      <c r="AC50">
        <f>IF((C47="Tunisia")*ISNUMBER(D47),F47,0)+IF((G47="Tunisia")*ISNUMBER(D47),D47,0)+IF((C48="Tunisia")*ISNUMBER(D48),F48,0)+IF((G48="Tunisia")*ISNUMBER(D48),D48,0)+IF((C49="Tunisia")*ISNUMBER(D49),F49,0)+IF((G49="Tunisia")*ISNUMBER(D49),D49,0)+IF((C50="Tunisia")*ISNUMBER(D50),F50,0)+IF((G50="Tunisia")*ISNUMBER(D50),D50,0)+IF((C51="Tunisia")*ISNUMBER(D51),F51,0)+IF((G51="Tunisia")*ISNUMBER(D51),D51,0)+IF((C52="Tunisia")*ISNUMBER(D52),F52,0)+IF((G52="Tunisia")*ISNUMBER(D52),D52,0)</f>
        <v>4</v>
      </c>
      <c r="AD50">
        <f>AB50-AC50</f>
        <v>-2</v>
      </c>
      <c r="AE50">
        <f>3*Y50+Z50</f>
        <v>2</v>
      </c>
      <c r="AF50">
        <f>1+((AE47&gt;AE50)+(AE47=AE50)*(AD47&gt;AD50)+(AE47=AE50)*(AD47=AD50)*(AB47&gt;AB50)&gt;0)*1+((AE48&gt;AE50)+(AE48=AE50)*(AD48&gt;AD50)+(AE48=AE50)*(AD48=AD50)*(AB48&gt;AB50)&gt;0)*1+((AE49&gt;AE50)+(AE49=AE50)*(AD49&gt;AD50)+(AE49=AE50)*(AD49=AD50)*(AB49&gt;AB50)&gt;0)*1</f>
        <v>3</v>
      </c>
    </row>
    <row r="51" spans="1:32" ht="16.5" customHeight="1" x14ac:dyDescent="0.3">
      <c r="A51" s="3">
        <v>35</v>
      </c>
      <c r="B51" s="3" t="s">
        <v>102</v>
      </c>
      <c r="C51" s="4" t="s">
        <v>107</v>
      </c>
      <c r="D51" s="5">
        <v>1</v>
      </c>
      <c r="E51" s="3" t="s">
        <v>29</v>
      </c>
      <c r="F51" s="5">
        <v>3</v>
      </c>
      <c r="G51" s="4" t="s">
        <v>103</v>
      </c>
      <c r="H51" s="3" t="s">
        <v>84</v>
      </c>
      <c r="I51" s="3" t="s">
        <v>95</v>
      </c>
      <c r="J51" s="4" t="s">
        <v>99</v>
      </c>
      <c r="K51" s="6" t="s">
        <v>34</v>
      </c>
    </row>
    <row r="52" spans="1:32" ht="16.5" customHeight="1" x14ac:dyDescent="0.3">
      <c r="A52" s="7">
        <v>36</v>
      </c>
      <c r="B52" s="7" t="s">
        <v>102</v>
      </c>
      <c r="C52" s="8" t="s">
        <v>104</v>
      </c>
      <c r="D52" s="5">
        <v>1</v>
      </c>
      <c r="E52" s="7" t="s">
        <v>29</v>
      </c>
      <c r="F52" s="5">
        <v>2</v>
      </c>
      <c r="G52" s="8" t="s">
        <v>106</v>
      </c>
      <c r="H52" s="7" t="s">
        <v>84</v>
      </c>
      <c r="I52" s="7" t="s">
        <v>95</v>
      </c>
      <c r="J52" s="8" t="s">
        <v>105</v>
      </c>
      <c r="K52" s="6" t="s">
        <v>34</v>
      </c>
    </row>
    <row r="53" spans="1:32" ht="18.75" customHeight="1" x14ac:dyDescent="0.3">
      <c r="A53" s="56" t="s">
        <v>108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M53" s="57" t="s">
        <v>109</v>
      </c>
      <c r="N53" s="57"/>
      <c r="O53" s="57"/>
      <c r="P53" s="57"/>
      <c r="Q53" s="57"/>
      <c r="R53" s="57"/>
      <c r="S53" s="57"/>
      <c r="T53" s="57"/>
      <c r="U53" s="57"/>
    </row>
    <row r="54" spans="1:32" ht="15.75" customHeight="1" x14ac:dyDescent="0.3">
      <c r="A54" s="1" t="s">
        <v>8</v>
      </c>
      <c r="B54" s="1" t="s">
        <v>9</v>
      </c>
      <c r="C54" s="1" t="s">
        <v>10</v>
      </c>
      <c r="D54" s="1" t="s">
        <v>11</v>
      </c>
      <c r="E54" s="1"/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17</v>
      </c>
      <c r="M54" s="2" t="s">
        <v>18</v>
      </c>
      <c r="N54" s="2" t="s">
        <v>19</v>
      </c>
      <c r="O54" s="2" t="s">
        <v>20</v>
      </c>
      <c r="P54" s="2" t="s">
        <v>21</v>
      </c>
      <c r="Q54" s="2" t="s">
        <v>22</v>
      </c>
      <c r="R54" s="2" t="s">
        <v>23</v>
      </c>
      <c r="S54" s="2" t="s">
        <v>24</v>
      </c>
      <c r="T54" s="2" t="s">
        <v>25</v>
      </c>
      <c r="U54" s="2" t="s">
        <v>26</v>
      </c>
    </row>
    <row r="55" spans="1:32" ht="16.5" customHeight="1" x14ac:dyDescent="0.3">
      <c r="A55" s="3">
        <v>37</v>
      </c>
      <c r="B55" s="3" t="s">
        <v>110</v>
      </c>
      <c r="C55" s="4" t="s">
        <v>111</v>
      </c>
      <c r="D55" s="5">
        <v>4</v>
      </c>
      <c r="E55" s="3" t="s">
        <v>29</v>
      </c>
      <c r="F55" s="5">
        <v>1</v>
      </c>
      <c r="G55" s="4" t="s">
        <v>112</v>
      </c>
      <c r="H55" s="3" t="s">
        <v>94</v>
      </c>
      <c r="I55" s="3" t="s">
        <v>32</v>
      </c>
      <c r="J55" s="4" t="s">
        <v>62</v>
      </c>
      <c r="K55" s="9" t="s">
        <v>40</v>
      </c>
      <c r="M55" s="4" t="str">
        <f>IF(AND(ISNUMBER(D55),ISNUMBER(D56),ISNUMBER(D57),ISNUMBER(D58),ISNUMBER(D59),ISNUMBER(D60)),IF(AF55=1,W55,IF(AF56=1,W56,IF(AF57=1,W57,IF(AF58=1,W58,"")))),"")</f>
        <v>Belgia</v>
      </c>
      <c r="N55" s="3">
        <f>IF(AND(ISNUMBER(D55),ISNUMBER(D56),ISNUMBER(D57),ISNUMBER(D58),ISNUMBER(D59),ISNUMBER(D60)),IF(AF55=1,X55,IF(AF56=1,X56,IF(AF57=1,X57,IF(AF58=1,X58,"")))),"")</f>
        <v>3</v>
      </c>
      <c r="O55" s="3">
        <f>IF(AND(ISNUMBER(D55),ISNUMBER(D56),ISNUMBER(D57),ISNUMBER(D58),ISNUMBER(D59),ISNUMBER(D60)),IF(AF55=1,Y55,IF(AF56=1,Y56,IF(AF57=1,Y57,IF(AF58=1,Y58,"")))),"")</f>
        <v>3</v>
      </c>
      <c r="P55" s="3">
        <f>IF(AND(ISNUMBER(D55),ISNUMBER(D56),ISNUMBER(D57),ISNUMBER(D58),ISNUMBER(D59),ISNUMBER(D60)),IF(AF55=1,Z55,IF(AF56=1,Z56,IF(AF57=1,Z57,IF(AF58=1,Z58,"")))),"")</f>
        <v>0</v>
      </c>
      <c r="Q55" s="3">
        <f>IF(AND(ISNUMBER(D55),ISNUMBER(D56),ISNUMBER(D57),ISNUMBER(D58),ISNUMBER(D59),ISNUMBER(D60)),IF(AF55=1,AA55,IF(AF56=1,AA56,IF(AF57=1,AA57,IF(AF58=1,AA58,"")))),"")</f>
        <v>0</v>
      </c>
      <c r="R55" s="3">
        <f>IF(AND(ISNUMBER(D55),ISNUMBER(D56),ISNUMBER(D57),ISNUMBER(D58),ISNUMBER(D59),ISNUMBER(D60)),IF(AF55=1,AB55,IF(AF56=1,AB56,IF(AF57=1,AB57,IF(AF58=1,AB58,"")))),"")</f>
        <v>7</v>
      </c>
      <c r="S55" s="3">
        <f>IF(AND(ISNUMBER(D55),ISNUMBER(D56),ISNUMBER(D57),ISNUMBER(D58),ISNUMBER(D59),ISNUMBER(D60)),IF(AF55=1,AC55,IF(AF56=1,AC56,IF(AF57=1,AC57,IF(AF58=1,AC58,"")))),"")</f>
        <v>1</v>
      </c>
      <c r="T55" s="3">
        <f>IF(AND(ISNUMBER(D55),ISNUMBER(D56),ISNUMBER(D57),ISNUMBER(D58),ISNUMBER(D59),ISNUMBER(D60)),IF(AF55=1,AD55,IF(AF56=1,AD56,IF(AF57=1,AD57,IF(AF58=1,AD58,"")))),"")</f>
        <v>6</v>
      </c>
      <c r="U55" s="3">
        <f>IF(AND(ISNUMBER(D55),ISNUMBER(D56),ISNUMBER(D57),ISNUMBER(D58),ISNUMBER(D59),ISNUMBER(D60)),IF(AF55=1,AE55,IF(AF56=1,AE56,IF(AF57=1,AE57,IF(AF58=1,AE58,"")))),"")</f>
        <v>9</v>
      </c>
      <c r="W55" t="s">
        <v>111</v>
      </c>
      <c r="X55">
        <f>((C55="Belgia")*ISNUMBER(D55))+((G55="Belgia")*ISNUMBER(D55))+((C56="Belgia")*ISNUMBER(D56))+((G56="Belgia")*ISNUMBER(D56))+((C57="Belgia")*ISNUMBER(D57))+((G57="Belgia")*ISNUMBER(D57))+((C58="Belgia")*ISNUMBER(D58))+((G58="Belgia")*ISNUMBER(D58))+((C59="Belgia")*ISNUMBER(D59))+((G59="Belgia")*ISNUMBER(D59))+((C60="Belgia")*ISNUMBER(D60))+((G60="Belgia")*ISNUMBER(D60))</f>
        <v>3</v>
      </c>
      <c r="Y55">
        <f>((C55="Belgia")*ISNUMBER(D55)*(D55&gt;F55))+((G55="Belgia")*ISNUMBER(D55)*(F55&gt;D55))+((C56="Belgia")*ISNUMBER(D56)*(D56&gt;F56))+((G56="Belgia")*ISNUMBER(D56)*(F56&gt;D56))+((C57="Belgia")*ISNUMBER(D57)*(D57&gt;F57))+((G57="Belgia")*ISNUMBER(D57)*(F57&gt;D57))+((C58="Belgia")*ISNUMBER(D58)*(D58&gt;F58))+((G58="Belgia")*ISNUMBER(D58)*(F58&gt;D58))+((C59="Belgia")*ISNUMBER(D59)*(D59&gt;F59))+((G59="Belgia")*ISNUMBER(D59)*(F59&gt;D59))+((C60="Belgia")*ISNUMBER(D60)*(D60&gt;F60))+((G60="Belgia")*ISNUMBER(D60)*(F60&gt;D60))</f>
        <v>3</v>
      </c>
      <c r="Z55">
        <f>((C55="Belgia")*ISNUMBER(D55)*(D55=F55))+((G55="Belgia")*ISNUMBER(D55)*(F55=D55))+((C56="Belgia")*ISNUMBER(D56)*(D56=F56))+((G56="Belgia")*ISNUMBER(D56)*(F56=D56))+((C57="Belgia")*ISNUMBER(D57)*(D57=F57))+((G57="Belgia")*ISNUMBER(D57)*(F57=D57))+((C58="Belgia")*ISNUMBER(D58)*(D58=F58))+((G58="Belgia")*ISNUMBER(D58)*(F58=D58))+((C59="Belgia")*ISNUMBER(D59)*(D59=F59))+((G59="Belgia")*ISNUMBER(D59)*(F59=D59))+((C60="Belgia")*ISNUMBER(D60)*(D60=F60))+((G60="Belgia")*ISNUMBER(D60)*(F60=D60))</f>
        <v>0</v>
      </c>
      <c r="AA55">
        <f>((C55="Belgia")*ISNUMBER(D55)*(D55&lt;F55))+((G55="Belgia")*ISNUMBER(D55)*(F55&lt;D55))+((C56="Belgia")*ISNUMBER(D56)*(D56&lt;F56))+((G56="Belgia")*ISNUMBER(D56)*(F56&lt;D56))+((C57="Belgia")*ISNUMBER(D57)*(D57&lt;F57))+((G57="Belgia")*ISNUMBER(D57)*(F57&lt;D57))+((C58="Belgia")*ISNUMBER(D58)*(D58&lt;F58))+((G58="Belgia")*ISNUMBER(D58)*(F58&lt;D58))+((C59="Belgia")*ISNUMBER(D59)*(D59&lt;F59))+((G59="Belgia")*ISNUMBER(D59)*(F59&lt;D59))+((C60="Belgia")*ISNUMBER(D60)*(D60&lt;F60))+((G60="Belgia")*ISNUMBER(D60)*(F60&lt;D60))</f>
        <v>0</v>
      </c>
      <c r="AB55">
        <f>IF((C55="Belgia")*ISNUMBER(D55),D55,0)+IF((G55="Belgia")*ISNUMBER(D55),F55,0)+IF((C56="Belgia")*ISNUMBER(D56),D56,0)+IF((G56="Belgia")*ISNUMBER(D56),F56,0)+IF((C57="Belgia")*ISNUMBER(D57),D57,0)+IF((G57="Belgia")*ISNUMBER(D57),F57,0)+IF((C58="Belgia")*ISNUMBER(D58),D58,0)+IF((G58="Belgia")*ISNUMBER(D58),F58,0)+IF((C59="Belgia")*ISNUMBER(D59),D59,0)+IF((G59="Belgia")*ISNUMBER(D59),F59,0)+IF((C60="Belgia")*ISNUMBER(D60),D60,0)+IF((G60="Belgia")*ISNUMBER(D60),F60,0)</f>
        <v>7</v>
      </c>
      <c r="AC55">
        <f>IF((C55="Belgia")*ISNUMBER(D55),F55,0)+IF((G55="Belgia")*ISNUMBER(D55),D55,0)+IF((C56="Belgia")*ISNUMBER(D56),F56,0)+IF((G56="Belgia")*ISNUMBER(D56),D56,0)+IF((C57="Belgia")*ISNUMBER(D57),F57,0)+IF((G57="Belgia")*ISNUMBER(D57),D57,0)+IF((C58="Belgia")*ISNUMBER(D58),F58,0)+IF((G58="Belgia")*ISNUMBER(D58),D58,0)+IF((C59="Belgia")*ISNUMBER(D59),F59,0)+IF((G59="Belgia")*ISNUMBER(D59),D59,0)+IF((C60="Belgia")*ISNUMBER(D60),F60,0)+IF((G60="Belgia")*ISNUMBER(D60),D60,0)</f>
        <v>1</v>
      </c>
      <c r="AD55">
        <f>AB55-AC55</f>
        <v>6</v>
      </c>
      <c r="AE55">
        <f>3*Y55+Z55</f>
        <v>9</v>
      </c>
      <c r="AF55">
        <f>1+((AE56&gt;AE55)+(AE56=AE55)*(AD56&gt;AD55)+(AE56=AE55)*(AD56=AD55)*(AB56&gt;AB55)&gt;0)*1+((AE57&gt;AE55)+(AE57=AE55)*(AD57&gt;AD55)+(AE57=AE55)*(AD57=AD55)*(AB57&gt;AB55)&gt;0)*1+((AE58&gt;AE55)+(AE58=AE55)*(AD58&gt;AD55)+(AE58=AE55)*(AD58=AD55)*(AB58&gt;AB55)&gt;0)*1</f>
        <v>1</v>
      </c>
    </row>
    <row r="56" spans="1:32" ht="16.5" customHeight="1" x14ac:dyDescent="0.3">
      <c r="A56" s="7">
        <v>38</v>
      </c>
      <c r="B56" s="7" t="s">
        <v>110</v>
      </c>
      <c r="C56" s="8" t="s">
        <v>113</v>
      </c>
      <c r="D56" s="5">
        <v>0</v>
      </c>
      <c r="E56" s="7" t="s">
        <v>29</v>
      </c>
      <c r="F56" s="5">
        <v>3</v>
      </c>
      <c r="G56" s="8" t="s">
        <v>114</v>
      </c>
      <c r="H56" s="7" t="s">
        <v>115</v>
      </c>
      <c r="I56" s="7" t="s">
        <v>45</v>
      </c>
      <c r="J56" s="8" t="s">
        <v>58</v>
      </c>
      <c r="K56" s="9" t="s">
        <v>40</v>
      </c>
      <c r="M56" s="4" t="str">
        <f>IF(AND(ISNUMBER(D55),ISNUMBER(D56),ISNUMBER(D57),ISNUMBER(D58),ISNUMBER(D59),ISNUMBER(D60)),IF(AF55=2,W55,IF(AF56=2,W56,IF(AF57=2,W57,IF(AF58=2,W58,"")))),"")</f>
        <v>New Zealand</v>
      </c>
      <c r="N56" s="3">
        <f>IF(AND(ISNUMBER(D55),ISNUMBER(D56),ISNUMBER(D57),ISNUMBER(D58),ISNUMBER(D59),ISNUMBER(D60)),IF(AF55=2,X55,IF(AF56=2,X56,IF(AF57=2,X57,IF(AF58=2,X58,"")))),"")</f>
        <v>3</v>
      </c>
      <c r="O56" s="3">
        <f>IF(AND(ISNUMBER(D55),ISNUMBER(D56),ISNUMBER(D57),ISNUMBER(D58),ISNUMBER(D59),ISNUMBER(D60)),IF(AF55=2,Y55,IF(AF56=2,Y56,IF(AF57=2,Y57,IF(AF58=2,Y58,"")))),"")</f>
        <v>1</v>
      </c>
      <c r="P56" s="3">
        <f>IF(AND(ISNUMBER(D55),ISNUMBER(D56),ISNUMBER(D57),ISNUMBER(D58),ISNUMBER(D59),ISNUMBER(D60)),IF(AF55=2,Z55,IF(AF56=2,Z56,IF(AF57=2,Z57,IF(AF58=2,Z58,"")))),"")</f>
        <v>1</v>
      </c>
      <c r="Q56" s="3">
        <f>IF(AND(ISNUMBER(D55),ISNUMBER(D56),ISNUMBER(D57),ISNUMBER(D58),ISNUMBER(D59),ISNUMBER(D60)),IF(AF55=2,AA55,IF(AF56=2,AA56,IF(AF57=2,AA57,IF(AF58=2,AA58,"")))),"")</f>
        <v>1</v>
      </c>
      <c r="R56" s="3">
        <f>IF(AND(ISNUMBER(D55),ISNUMBER(D56),ISNUMBER(D57),ISNUMBER(D58),ISNUMBER(D59),ISNUMBER(D60)),IF(AF55=2,AB55,IF(AF56=2,AB56,IF(AF57=2,AB57,IF(AF58=2,AB58,"")))),"")</f>
        <v>4</v>
      </c>
      <c r="S56" s="3">
        <f>IF(AND(ISNUMBER(D55),ISNUMBER(D56),ISNUMBER(D57),ISNUMBER(D58),ISNUMBER(D59),ISNUMBER(D60)),IF(AF55=2,AC55,IF(AF56=2,AC56,IF(AF57=2,AC57,IF(AF58=2,AC58,"")))),"")</f>
        <v>2</v>
      </c>
      <c r="T56" s="3">
        <f>IF(AND(ISNUMBER(D55),ISNUMBER(D56),ISNUMBER(D57),ISNUMBER(D58),ISNUMBER(D59),ISNUMBER(D60)),IF(AF55=2,AD55,IF(AF56=2,AD56,IF(AF57=2,AD57,IF(AF58=2,AD58,"")))),"")</f>
        <v>2</v>
      </c>
      <c r="U56" s="3">
        <f>IF(AND(ISNUMBER(D55),ISNUMBER(D56),ISNUMBER(D57),ISNUMBER(D58),ISNUMBER(D59),ISNUMBER(D60)),IF(AF55=2,AE55,IF(AF56=2,AE56,IF(AF57=2,AE57,IF(AF58=2,AE58,"")))),"")</f>
        <v>4</v>
      </c>
      <c r="W56" t="s">
        <v>112</v>
      </c>
      <c r="X56">
        <f>((C55="Egypt")*ISNUMBER(D55))+((G55="Egypt")*ISNUMBER(D55))+((C56="Egypt")*ISNUMBER(D56))+((G56="Egypt")*ISNUMBER(D56))+((C57="Egypt")*ISNUMBER(D57))+((G57="Egypt")*ISNUMBER(D57))+((C58="Egypt")*ISNUMBER(D58))+((G58="Egypt")*ISNUMBER(D58))+((C59="Egypt")*ISNUMBER(D59))+((G59="Egypt")*ISNUMBER(D59))+((C60="Egypt")*ISNUMBER(D60))+((G60="Egypt")*ISNUMBER(D60))</f>
        <v>3</v>
      </c>
      <c r="Y56">
        <f>((C55="Egypt")*ISNUMBER(D55)*(D55&gt;F55))+((G55="Egypt")*ISNUMBER(D55)*(F55&gt;D55))+((C56="Egypt")*ISNUMBER(D56)*(D56&gt;F56))+((G56="Egypt")*ISNUMBER(D56)*(F56&gt;D56))+((C57="Egypt")*ISNUMBER(D57)*(D57&gt;F57))+((G57="Egypt")*ISNUMBER(D57)*(F57&gt;D57))+((C58="Egypt")*ISNUMBER(D58)*(D58&gt;F58))+((G58="Egypt")*ISNUMBER(D58)*(F58&gt;D58))+((C59="Egypt")*ISNUMBER(D59)*(D59&gt;F59))+((G59="Egypt")*ISNUMBER(D59)*(F59&gt;D59))+((C60="Egypt")*ISNUMBER(D60)*(D60&gt;F60))+((G60="Egypt")*ISNUMBER(D60)*(F60&gt;D60))</f>
        <v>1</v>
      </c>
      <c r="Z56">
        <f>((C55="Egypt")*ISNUMBER(D55)*(D55=F55))+((G55="Egypt")*ISNUMBER(D55)*(F55=D55))+((C56="Egypt")*ISNUMBER(D56)*(D56=F56))+((G56="Egypt")*ISNUMBER(D56)*(F56=D56))+((C57="Egypt")*ISNUMBER(D57)*(D57=F57))+((G57="Egypt")*ISNUMBER(D57)*(F57=D57))+((C58="Egypt")*ISNUMBER(D58)*(D58=F58))+((G58="Egypt")*ISNUMBER(D58)*(F58=D58))+((C59="Egypt")*ISNUMBER(D59)*(D59=F59))+((G59="Egypt")*ISNUMBER(D59)*(F59=D59))+((C60="Egypt")*ISNUMBER(D60)*(D60=F60))+((G60="Egypt")*ISNUMBER(D60)*(F60=D60))</f>
        <v>1</v>
      </c>
      <c r="AA56">
        <f>((C55="Egypt")*ISNUMBER(D55)*(D55&lt;F55))+((G55="Egypt")*ISNUMBER(D55)*(F55&lt;D55))+((C56="Egypt")*ISNUMBER(D56)*(D56&lt;F56))+((G56="Egypt")*ISNUMBER(D56)*(F56&lt;D56))+((C57="Egypt")*ISNUMBER(D57)*(D57&lt;F57))+((G57="Egypt")*ISNUMBER(D57)*(F57&lt;D57))+((C58="Egypt")*ISNUMBER(D58)*(D58&lt;F58))+((G58="Egypt")*ISNUMBER(D58)*(F58&lt;D58))+((C59="Egypt")*ISNUMBER(D59)*(D59&lt;F59))+((G59="Egypt")*ISNUMBER(D59)*(F59&lt;D59))+((C60="Egypt")*ISNUMBER(D60)*(D60&lt;F60))+((G60="Egypt")*ISNUMBER(D60)*(F60&lt;D60))</f>
        <v>1</v>
      </c>
      <c r="AB56">
        <f>IF((C55="Egypt")*ISNUMBER(D55),D55,0)+IF((G55="Egypt")*ISNUMBER(D55),F55,0)+IF((C56="Egypt")*ISNUMBER(D56),D56,0)+IF((G56="Egypt")*ISNUMBER(D56),F56,0)+IF((C57="Egypt")*ISNUMBER(D57),D57,0)+IF((G57="Egypt")*ISNUMBER(D57),F57,0)+IF((C58="Egypt")*ISNUMBER(D58),D58,0)+IF((G58="Egypt")*ISNUMBER(D58),F58,0)+IF((C59="Egypt")*ISNUMBER(D59),D59,0)+IF((G59="Egypt")*ISNUMBER(D59),F59,0)+IF((C60="Egypt")*ISNUMBER(D60),D60,0)+IF((G60="Egypt")*ISNUMBER(D60),F60,0)</f>
        <v>5</v>
      </c>
      <c r="AC56">
        <f>IF((C55="Egypt")*ISNUMBER(D55),F55,0)+IF((G55="Egypt")*ISNUMBER(D55),D55,0)+IF((C56="Egypt")*ISNUMBER(D56),F56,0)+IF((G56="Egypt")*ISNUMBER(D56),D56,0)+IF((C57="Egypt")*ISNUMBER(D57),F57,0)+IF((G57="Egypt")*ISNUMBER(D57),D57,0)+IF((C58="Egypt")*ISNUMBER(D58),F58,0)+IF((G58="Egypt")*ISNUMBER(D58),D58,0)+IF((C59="Egypt")*ISNUMBER(D59),F59,0)+IF((G59="Egypt")*ISNUMBER(D59),D59,0)+IF((C60="Egypt")*ISNUMBER(D60),F60,0)+IF((G60="Egypt")*ISNUMBER(D60),D60,0)</f>
        <v>5</v>
      </c>
      <c r="AD56">
        <f>AB56-AC56</f>
        <v>0</v>
      </c>
      <c r="AE56">
        <f>3*Y56+Z56</f>
        <v>4</v>
      </c>
      <c r="AF56">
        <f>1+((AE55&gt;AE56)+(AE55=AE56)*(AD55&gt;AD56)+(AE55=AE56)*(AD55=AD56)*(AB55&gt;AB56)&gt;0)*1+((AE57&gt;AE56)+(AE57=AE56)*(AD57&gt;AD56)+(AE57=AE56)*(AD57=AD56)*(AB57&gt;AB56)&gt;0)*1+((AE58&gt;AE56)+(AE58=AE56)*(AD58&gt;AD56)+(AE58=AE56)*(AD58=AD56)*(AB58&gt;AB56)&gt;0)*1</f>
        <v>3</v>
      </c>
    </row>
    <row r="57" spans="1:32" ht="16.5" customHeight="1" x14ac:dyDescent="0.3">
      <c r="A57" s="3">
        <v>39</v>
      </c>
      <c r="B57" s="3" t="s">
        <v>110</v>
      </c>
      <c r="C57" s="4" t="s">
        <v>111</v>
      </c>
      <c r="D57" s="5">
        <v>2</v>
      </c>
      <c r="E57" s="3" t="s">
        <v>29</v>
      </c>
      <c r="F57" s="5">
        <v>0</v>
      </c>
      <c r="G57" s="4" t="s">
        <v>113</v>
      </c>
      <c r="H57" s="3" t="s">
        <v>97</v>
      </c>
      <c r="I57" s="3" t="s">
        <v>32</v>
      </c>
      <c r="J57" s="4" t="s">
        <v>58</v>
      </c>
      <c r="K57" s="6" t="s">
        <v>34</v>
      </c>
      <c r="M57" s="4" t="str">
        <f>IF(AND(ISNUMBER(D55),ISNUMBER(D56),ISNUMBER(D57),ISNUMBER(D58),ISNUMBER(D59),ISNUMBER(D60)),IF(AF55=3,W55,IF(AF56=3,W56,IF(AF57=3,W57,IF(AF58=3,W58,"")))),"")</f>
        <v>Egypt</v>
      </c>
      <c r="N57" s="3">
        <f>IF(AND(ISNUMBER(D55),ISNUMBER(D56),ISNUMBER(D57),ISNUMBER(D58),ISNUMBER(D59),ISNUMBER(D60)),IF(AF55=3,X55,IF(AF56=3,X56,IF(AF57=3,X57,IF(AF58=3,X58,"")))),"")</f>
        <v>3</v>
      </c>
      <c r="O57" s="3">
        <f>IF(AND(ISNUMBER(D55),ISNUMBER(D56),ISNUMBER(D57),ISNUMBER(D58),ISNUMBER(D59),ISNUMBER(D60)),IF(AF55=3,Y55,IF(AF56=3,Y56,IF(AF57=3,Y57,IF(AF58=3,Y58,"")))),"")</f>
        <v>1</v>
      </c>
      <c r="P57" s="3">
        <f>IF(AND(ISNUMBER(D55),ISNUMBER(D56),ISNUMBER(D57),ISNUMBER(D58),ISNUMBER(D59),ISNUMBER(D60)),IF(AF55=3,Z55,IF(AF56=3,Z56,IF(AF57=3,Z57,IF(AF58=3,Z58,"")))),"")</f>
        <v>1</v>
      </c>
      <c r="Q57" s="3">
        <f>IF(AND(ISNUMBER(D55),ISNUMBER(D56),ISNUMBER(D57),ISNUMBER(D58),ISNUMBER(D59),ISNUMBER(D60)),IF(AF55=3,AA55,IF(AF56=3,AA56,IF(AF57=3,AA57,IF(AF58=3,AA58,"")))),"")</f>
        <v>1</v>
      </c>
      <c r="R57" s="3">
        <f>IF(AND(ISNUMBER(D55),ISNUMBER(D56),ISNUMBER(D57),ISNUMBER(D58),ISNUMBER(D59),ISNUMBER(D60)),IF(AF55=3,AB55,IF(AF56=3,AB56,IF(AF57=3,AB57,IF(AF58=3,AB58,"")))),"")</f>
        <v>5</v>
      </c>
      <c r="S57" s="3">
        <f>IF(AND(ISNUMBER(D55),ISNUMBER(D56),ISNUMBER(D57),ISNUMBER(D58),ISNUMBER(D59),ISNUMBER(D60)),IF(AF55=3,AC55,IF(AF56=3,AC56,IF(AF57=3,AC57,IF(AF58=3,AC58,"")))),"")</f>
        <v>5</v>
      </c>
      <c r="T57" s="3">
        <f>IF(AND(ISNUMBER(D55),ISNUMBER(D56),ISNUMBER(D57),ISNUMBER(D58),ISNUMBER(D59),ISNUMBER(D60)),IF(AF55=3,AD55,IF(AF56=3,AD56,IF(AF57=3,AD57,IF(AF58=3,AD58,"")))),"")</f>
        <v>0</v>
      </c>
      <c r="U57" s="3">
        <f>IF(AND(ISNUMBER(D55),ISNUMBER(D56),ISNUMBER(D57),ISNUMBER(D58),ISNUMBER(D59),ISNUMBER(D60)),IF(AF55=3,AE55,IF(AF56=3,AE56,IF(AF57=3,AE57,IF(AF58=3,AE58,"")))),"")</f>
        <v>4</v>
      </c>
      <c r="W57" t="s">
        <v>113</v>
      </c>
      <c r="X57">
        <f>((C55="Iran")*ISNUMBER(D55))+((G55="Iran")*ISNUMBER(D55))+((C56="Iran")*ISNUMBER(D56))+((G56="Iran")*ISNUMBER(D56))+((C57="Iran")*ISNUMBER(D57))+((G57="Iran")*ISNUMBER(D57))+((C58="Iran")*ISNUMBER(D58))+((G58="Iran")*ISNUMBER(D58))+((C59="Iran")*ISNUMBER(D59))+((G59="Iran")*ISNUMBER(D59))+((C60="Iran")*ISNUMBER(D60))+((G60="Iran")*ISNUMBER(D60))</f>
        <v>3</v>
      </c>
      <c r="Y57">
        <f>((C55="Iran")*ISNUMBER(D55)*(D55&gt;F55))+((G55="Iran")*ISNUMBER(D55)*(F55&gt;D55))+((C56="Iran")*ISNUMBER(D56)*(D56&gt;F56))+((G56="Iran")*ISNUMBER(D56)*(F56&gt;D56))+((C57="Iran")*ISNUMBER(D57)*(D57&gt;F57))+((G57="Iran")*ISNUMBER(D57)*(F57&gt;D57))+((C58="Iran")*ISNUMBER(D58)*(D58&gt;F58))+((G58="Iran")*ISNUMBER(D58)*(F58&gt;D58))+((C59="Iran")*ISNUMBER(D59)*(D59&gt;F59))+((G59="Iran")*ISNUMBER(D59)*(F59&gt;D59))+((C60="Iran")*ISNUMBER(D60)*(D60&gt;F60))+((G60="Iran")*ISNUMBER(D60)*(F60&gt;D60))</f>
        <v>0</v>
      </c>
      <c r="Z57">
        <f>((C55="Iran")*ISNUMBER(D55)*(D55=F55))+((G55="Iran")*ISNUMBER(D55)*(F55=D55))+((C56="Iran")*ISNUMBER(D56)*(D56=F56))+((G56="Iran")*ISNUMBER(D56)*(F56=D56))+((C57="Iran")*ISNUMBER(D57)*(D57=F57))+((G57="Iran")*ISNUMBER(D57)*(F57=D57))+((C58="Iran")*ISNUMBER(D58)*(D58=F58))+((G58="Iran")*ISNUMBER(D58)*(F58=D58))+((C59="Iran")*ISNUMBER(D59)*(D59=F59))+((G59="Iran")*ISNUMBER(D59)*(F59=D59))+((C60="Iran")*ISNUMBER(D60)*(D60=F60))+((G60="Iran")*ISNUMBER(D60)*(F60=D60))</f>
        <v>0</v>
      </c>
      <c r="AA57">
        <f>((C55="Iran")*ISNUMBER(D55)*(D55&lt;F55))+((G55="Iran")*ISNUMBER(D55)*(F55&lt;D55))+((C56="Iran")*ISNUMBER(D56)*(D56&lt;F56))+((G56="Iran")*ISNUMBER(D56)*(F56&lt;D56))+((C57="Iran")*ISNUMBER(D57)*(D57&lt;F57))+((G57="Iran")*ISNUMBER(D57)*(F57&lt;D57))+((C58="Iran")*ISNUMBER(D58)*(D58&lt;F58))+((G58="Iran")*ISNUMBER(D58)*(F58&lt;D58))+((C59="Iran")*ISNUMBER(D59)*(D59&lt;F59))+((G59="Iran")*ISNUMBER(D59)*(F59&lt;D59))+((C60="Iran")*ISNUMBER(D60)*(D60&lt;F60))+((G60="Iran")*ISNUMBER(D60)*(F60&lt;D60))</f>
        <v>3</v>
      </c>
      <c r="AB57">
        <f>IF((C55="Iran")*ISNUMBER(D55),D55,0)+IF((G55="Iran")*ISNUMBER(D55),F55,0)+IF((C56="Iran")*ISNUMBER(D56),D56,0)+IF((G56="Iran")*ISNUMBER(D56),F56,0)+IF((C57="Iran")*ISNUMBER(D57),D57,0)+IF((G57="Iran")*ISNUMBER(D57),F57,0)+IF((C58="Iran")*ISNUMBER(D58),D58,0)+IF((G58="Iran")*ISNUMBER(D58),F58,0)+IF((C59="Iran")*ISNUMBER(D59),D59,0)+IF((G59="Iran")*ISNUMBER(D59),F59,0)+IF((C60="Iran")*ISNUMBER(D60),D60,0)+IF((G60="Iran")*ISNUMBER(D60),F60,0)</f>
        <v>0</v>
      </c>
      <c r="AC57">
        <f>IF((C55="Iran")*ISNUMBER(D55),F55,0)+IF((G55="Iran")*ISNUMBER(D55),D55,0)+IF((C56="Iran")*ISNUMBER(D56),F56,0)+IF((G56="Iran")*ISNUMBER(D56),D56,0)+IF((C57="Iran")*ISNUMBER(D57),F57,0)+IF((G57="Iran")*ISNUMBER(D57),D57,0)+IF((C58="Iran")*ISNUMBER(D58),F58,0)+IF((G58="Iran")*ISNUMBER(D58),D58,0)+IF((C59="Iran")*ISNUMBER(D59),F59,0)+IF((G59="Iran")*ISNUMBER(D59),D59,0)+IF((C60="Iran")*ISNUMBER(D60),F60,0)+IF((G60="Iran")*ISNUMBER(D60),D60,0)</f>
        <v>8</v>
      </c>
      <c r="AD57">
        <f>AB57-AC57</f>
        <v>-8</v>
      </c>
      <c r="AE57">
        <f>3*Y57+Z57</f>
        <v>0</v>
      </c>
      <c r="AF57">
        <f>1+((AE55&gt;AE57)+(AE55=AE57)*(AD55&gt;AD57)+(AE55=AE57)*(AD55=AD57)*(AB55&gt;AB57)&gt;0)*1+((AE56&gt;AE57)+(AE56=AE57)*(AD56&gt;AD57)+(AE56=AE57)*(AD56=AD57)*(AB56&gt;AB57)&gt;0)*1+((AE58&gt;AE57)+(AE58=AE57)*(AD58&gt;AD57)+(AE58=AE57)*(AD58=AD57)*(AB58&gt;AB57)&gt;0)*1</f>
        <v>4</v>
      </c>
    </row>
    <row r="58" spans="1:32" ht="16.5" customHeight="1" x14ac:dyDescent="0.3">
      <c r="A58" s="7">
        <v>40</v>
      </c>
      <c r="B58" s="7" t="s">
        <v>110</v>
      </c>
      <c r="C58" s="8" t="s">
        <v>114</v>
      </c>
      <c r="D58" s="5">
        <v>1</v>
      </c>
      <c r="E58" s="7" t="s">
        <v>29</v>
      </c>
      <c r="F58" s="5">
        <v>1</v>
      </c>
      <c r="G58" s="8" t="s">
        <v>112</v>
      </c>
      <c r="H58" s="7" t="s">
        <v>116</v>
      </c>
      <c r="I58" s="7" t="s">
        <v>45</v>
      </c>
      <c r="J58" s="8" t="s">
        <v>60</v>
      </c>
      <c r="K58" s="6" t="s">
        <v>34</v>
      </c>
      <c r="M58" s="4" t="str">
        <f>IF(AND(ISNUMBER(D55),ISNUMBER(D56),ISNUMBER(D57),ISNUMBER(D58),ISNUMBER(D59),ISNUMBER(D60)),IF(AF55=4,W55,IF(AF56=4,W56,IF(AF57=4,W57,IF(AF58=4,W58,"")))),"")</f>
        <v>Iran</v>
      </c>
      <c r="N58" s="3">
        <f>IF(AND(ISNUMBER(D55),ISNUMBER(D56),ISNUMBER(D57),ISNUMBER(D58),ISNUMBER(D59),ISNUMBER(D60)),IF(AF55=4,X55,IF(AF56=4,X56,IF(AF57=4,X57,IF(AF58=4,X58,"")))),"")</f>
        <v>3</v>
      </c>
      <c r="O58" s="3">
        <f>IF(AND(ISNUMBER(D55),ISNUMBER(D56),ISNUMBER(D57),ISNUMBER(D58),ISNUMBER(D59),ISNUMBER(D60)),IF(AF55=4,Y55,IF(AF56=4,Y56,IF(AF57=4,Y57,IF(AF58=4,Y58,"")))),"")</f>
        <v>0</v>
      </c>
      <c r="P58" s="3">
        <f>IF(AND(ISNUMBER(D55),ISNUMBER(D56),ISNUMBER(D57),ISNUMBER(D58),ISNUMBER(D59),ISNUMBER(D60)),IF(AF55=4,Z55,IF(AF56=4,Z56,IF(AF57=4,Z57,IF(AF58=4,Z58,"")))),"")</f>
        <v>0</v>
      </c>
      <c r="Q58" s="3">
        <f>IF(AND(ISNUMBER(D55),ISNUMBER(D56),ISNUMBER(D57),ISNUMBER(D58),ISNUMBER(D59),ISNUMBER(D60)),IF(AF55=4,AA55,IF(AF56=4,AA56,IF(AF57=4,AA57,IF(AF58=4,AA58,"")))),"")</f>
        <v>3</v>
      </c>
      <c r="R58" s="3">
        <f>IF(AND(ISNUMBER(D55),ISNUMBER(D56),ISNUMBER(D57),ISNUMBER(D58),ISNUMBER(D59),ISNUMBER(D60)),IF(AF55=4,AB55,IF(AF56=4,AB56,IF(AF57=4,AB57,IF(AF58=4,AB58,"")))),"")</f>
        <v>0</v>
      </c>
      <c r="S58" s="3">
        <f>IF(AND(ISNUMBER(D55),ISNUMBER(D56),ISNUMBER(D57),ISNUMBER(D58),ISNUMBER(D59),ISNUMBER(D60)),IF(AF55=4,AC55,IF(AF56=4,AC56,IF(AF57=4,AC57,IF(AF58=4,AC58,"")))),"")</f>
        <v>8</v>
      </c>
      <c r="T58" s="3">
        <f>IF(AND(ISNUMBER(D55),ISNUMBER(D56),ISNUMBER(D57),ISNUMBER(D58),ISNUMBER(D59),ISNUMBER(D60)),IF(AF55=4,AD55,IF(AF56=4,AD56,IF(AF57=4,AD57,IF(AF58=4,AD58,"")))),"")</f>
        <v>-8</v>
      </c>
      <c r="U58" s="3">
        <f>IF(AND(ISNUMBER(D55),ISNUMBER(D56),ISNUMBER(D57),ISNUMBER(D58),ISNUMBER(D59),ISNUMBER(D60)),IF(AF55=4,AE55,IF(AF56=4,AE56,IF(AF57=4,AE57,IF(AF58=4,AE58,"")))),"")</f>
        <v>0</v>
      </c>
      <c r="W58" t="s">
        <v>114</v>
      </c>
      <c r="X58">
        <f>((C55="New Zealand")*ISNUMBER(D55))+((G55="New Zealand")*ISNUMBER(D55))+((C56="New Zealand")*ISNUMBER(D56))+((G56="New Zealand")*ISNUMBER(D56))+((C57="New Zealand")*ISNUMBER(D57))+((G57="New Zealand")*ISNUMBER(D57))+((C58="New Zealand")*ISNUMBER(D58))+((G58="New Zealand")*ISNUMBER(D58))+((C59="New Zealand")*ISNUMBER(D59))+((G59="New Zealand")*ISNUMBER(D59))+((C60="New Zealand")*ISNUMBER(D60))+((G60="New Zealand")*ISNUMBER(D60))</f>
        <v>3</v>
      </c>
      <c r="Y58">
        <f>((C55="New Zealand")*ISNUMBER(D55)*(D55&gt;F55))+((G55="New Zealand")*ISNUMBER(D55)*(F55&gt;D55))+((C56="New Zealand")*ISNUMBER(D56)*(D56&gt;F56))+((G56="New Zealand")*ISNUMBER(D56)*(F56&gt;D56))+((C57="New Zealand")*ISNUMBER(D57)*(D57&gt;F57))+((G57="New Zealand")*ISNUMBER(D57)*(F57&gt;D57))+((C58="New Zealand")*ISNUMBER(D58)*(D58&gt;F58))+((G58="New Zealand")*ISNUMBER(D58)*(F58&gt;D58))+((C59="New Zealand")*ISNUMBER(D59)*(D59&gt;F59))+((G59="New Zealand")*ISNUMBER(D59)*(F59&gt;D59))+((C60="New Zealand")*ISNUMBER(D60)*(D60&gt;F60))+((G60="New Zealand")*ISNUMBER(D60)*(F60&gt;D60))</f>
        <v>1</v>
      </c>
      <c r="Z58">
        <f>((C55="New Zealand")*ISNUMBER(D55)*(D55=F55))+((G55="New Zealand")*ISNUMBER(D55)*(F55=D55))+((C56="New Zealand")*ISNUMBER(D56)*(D56=F56))+((G56="New Zealand")*ISNUMBER(D56)*(F56=D56))+((C57="New Zealand")*ISNUMBER(D57)*(D57=F57))+((G57="New Zealand")*ISNUMBER(D57)*(F57=D57))+((C58="New Zealand")*ISNUMBER(D58)*(D58=F58))+((G58="New Zealand")*ISNUMBER(D58)*(F58=D58))+((C59="New Zealand")*ISNUMBER(D59)*(D59=F59))+((G59="New Zealand")*ISNUMBER(D59)*(F59=D59))+((C60="New Zealand")*ISNUMBER(D60)*(D60=F60))+((G60="New Zealand")*ISNUMBER(D60)*(F60=D60))</f>
        <v>1</v>
      </c>
      <c r="AA58">
        <f>((C55="New Zealand")*ISNUMBER(D55)*(D55&lt;F55))+((G55="New Zealand")*ISNUMBER(D55)*(F55&lt;D55))+((C56="New Zealand")*ISNUMBER(D56)*(D56&lt;F56))+((G56="New Zealand")*ISNUMBER(D56)*(F56&lt;D56))+((C57="New Zealand")*ISNUMBER(D57)*(D57&lt;F57))+((G57="New Zealand")*ISNUMBER(D57)*(F57&lt;D57))+((C58="New Zealand")*ISNUMBER(D58)*(D58&lt;F58))+((G58="New Zealand")*ISNUMBER(D58)*(F58&lt;D58))+((C59="New Zealand")*ISNUMBER(D59)*(D59&lt;F59))+((G59="New Zealand")*ISNUMBER(D59)*(F59&lt;D59))+((C60="New Zealand")*ISNUMBER(D60)*(D60&lt;F60))+((G60="New Zealand")*ISNUMBER(D60)*(F60&lt;D60))</f>
        <v>1</v>
      </c>
      <c r="AB58">
        <f>IF((C55="New Zealand")*ISNUMBER(D55),D55,0)+IF((G55="New Zealand")*ISNUMBER(D55),F55,0)+IF((C56="New Zealand")*ISNUMBER(D56),D56,0)+IF((G56="New Zealand")*ISNUMBER(D56),F56,0)+IF((C57="New Zealand")*ISNUMBER(D57),D57,0)+IF((G57="New Zealand")*ISNUMBER(D57),F57,0)+IF((C58="New Zealand")*ISNUMBER(D58),D58,0)+IF((G58="New Zealand")*ISNUMBER(D58),F58,0)+IF((C59="New Zealand")*ISNUMBER(D59),D59,0)+IF((G59="New Zealand")*ISNUMBER(D59),F59,0)+IF((C60="New Zealand")*ISNUMBER(D60),D60,0)+IF((G60="New Zealand")*ISNUMBER(D60),F60,0)</f>
        <v>4</v>
      </c>
      <c r="AC58">
        <f>IF((C55="New Zealand")*ISNUMBER(D55),F55,0)+IF((G55="New Zealand")*ISNUMBER(D55),D55,0)+IF((C56="New Zealand")*ISNUMBER(D56),F56,0)+IF((G56="New Zealand")*ISNUMBER(D56),D56,0)+IF((C57="New Zealand")*ISNUMBER(D57),F57,0)+IF((G57="New Zealand")*ISNUMBER(D57),D57,0)+IF((C58="New Zealand")*ISNUMBER(D58),F58,0)+IF((G58="New Zealand")*ISNUMBER(D58),D58,0)+IF((C59="New Zealand")*ISNUMBER(D59),F59,0)+IF((G59="New Zealand")*ISNUMBER(D59),D59,0)+IF((C60="New Zealand")*ISNUMBER(D60),F60,0)+IF((G60="New Zealand")*ISNUMBER(D60),D60,0)</f>
        <v>2</v>
      </c>
      <c r="AD58">
        <f>AB58-AC58</f>
        <v>2</v>
      </c>
      <c r="AE58">
        <f>3*Y58+Z58</f>
        <v>4</v>
      </c>
      <c r="AF58">
        <f>1+((AE55&gt;AE58)+(AE55=AE58)*(AD55&gt;AD58)+(AE55=AE58)*(AD55=AD58)*(AB55&gt;AB58)&gt;0)*1+((AE56&gt;AE58)+(AE56=AE58)*(AD56&gt;AD58)+(AE56=AE58)*(AD56=AD58)*(AB56&gt;AB58)&gt;0)*1+((AE57&gt;AE58)+(AE57=AE58)*(AD57&gt;AD58)+(AE57=AE58)*(AD57=AD58)*(AB57&gt;AB58)&gt;0)*1</f>
        <v>2</v>
      </c>
    </row>
    <row r="59" spans="1:32" ht="16.5" customHeight="1" x14ac:dyDescent="0.3">
      <c r="A59" s="3">
        <v>41</v>
      </c>
      <c r="B59" s="3" t="s">
        <v>110</v>
      </c>
      <c r="C59" s="4" t="s">
        <v>112</v>
      </c>
      <c r="D59" s="5">
        <v>3</v>
      </c>
      <c r="E59" s="3" t="s">
        <v>29</v>
      </c>
      <c r="F59" s="5">
        <v>0</v>
      </c>
      <c r="G59" s="4" t="s">
        <v>113</v>
      </c>
      <c r="H59" s="3" t="s">
        <v>117</v>
      </c>
      <c r="I59" s="3" t="s">
        <v>118</v>
      </c>
      <c r="J59" s="4" t="s">
        <v>62</v>
      </c>
      <c r="K59" s="6" t="s">
        <v>34</v>
      </c>
    </row>
    <row r="60" spans="1:32" ht="16.5" customHeight="1" x14ac:dyDescent="0.3">
      <c r="A60" s="7">
        <v>42</v>
      </c>
      <c r="B60" s="7" t="s">
        <v>110</v>
      </c>
      <c r="C60" s="8" t="s">
        <v>114</v>
      </c>
      <c r="D60" s="5">
        <v>0</v>
      </c>
      <c r="E60" s="7" t="s">
        <v>29</v>
      </c>
      <c r="F60" s="5">
        <v>1</v>
      </c>
      <c r="G60" s="8" t="s">
        <v>111</v>
      </c>
      <c r="H60" s="7" t="s">
        <v>117</v>
      </c>
      <c r="I60" s="7" t="s">
        <v>118</v>
      </c>
      <c r="J60" s="8" t="s">
        <v>60</v>
      </c>
      <c r="K60" s="6" t="s">
        <v>34</v>
      </c>
    </row>
    <row r="61" spans="1:32" ht="18.75" customHeight="1" x14ac:dyDescent="0.3">
      <c r="A61" s="56" t="s">
        <v>119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M61" s="57" t="s">
        <v>120</v>
      </c>
      <c r="N61" s="57"/>
      <c r="O61" s="57"/>
      <c r="P61" s="57"/>
      <c r="Q61" s="57"/>
      <c r="R61" s="57"/>
      <c r="S61" s="57"/>
      <c r="T61" s="57"/>
      <c r="U61" s="57"/>
    </row>
    <row r="62" spans="1:32" ht="15.75" customHeight="1" x14ac:dyDescent="0.3">
      <c r="A62" s="1" t="s">
        <v>8</v>
      </c>
      <c r="B62" s="1" t="s">
        <v>9</v>
      </c>
      <c r="C62" s="1" t="s">
        <v>10</v>
      </c>
      <c r="D62" s="1" t="s">
        <v>11</v>
      </c>
      <c r="E62" s="1"/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17</v>
      </c>
      <c r="M62" s="2" t="s">
        <v>18</v>
      </c>
      <c r="N62" s="2" t="s">
        <v>19</v>
      </c>
      <c r="O62" s="2" t="s">
        <v>20</v>
      </c>
      <c r="P62" s="2" t="s">
        <v>21</v>
      </c>
      <c r="Q62" s="2" t="s">
        <v>22</v>
      </c>
      <c r="R62" s="2" t="s">
        <v>23</v>
      </c>
      <c r="S62" s="2" t="s">
        <v>24</v>
      </c>
      <c r="T62" s="2" t="s">
        <v>25</v>
      </c>
      <c r="U62" s="2" t="s">
        <v>26</v>
      </c>
    </row>
    <row r="63" spans="1:32" ht="16.5" customHeight="1" x14ac:dyDescent="0.3">
      <c r="A63" s="3">
        <v>43</v>
      </c>
      <c r="B63" s="3" t="s">
        <v>121</v>
      </c>
      <c r="C63" s="4" t="s">
        <v>122</v>
      </c>
      <c r="D63" s="5">
        <v>3</v>
      </c>
      <c r="E63" s="3" t="s">
        <v>29</v>
      </c>
      <c r="F63" s="5">
        <v>0</v>
      </c>
      <c r="G63" s="4" t="s">
        <v>123</v>
      </c>
      <c r="H63" s="3" t="s">
        <v>94</v>
      </c>
      <c r="I63" s="3" t="s">
        <v>42</v>
      </c>
      <c r="J63" s="4" t="s">
        <v>43</v>
      </c>
      <c r="K63" s="6" t="s">
        <v>34</v>
      </c>
      <c r="M63" s="4" t="str">
        <f>IF(AND(ISNUMBER(D63),ISNUMBER(D64),ISNUMBER(D65),ISNUMBER(D66),ISNUMBER(D67),ISNUMBER(D68)),IF(AF63=1,W63,IF(AF64=1,W64,IF(AF65=1,W65,IF(AF66=1,W66,"")))),"")</f>
        <v>Spania</v>
      </c>
      <c r="N63" s="3">
        <f>IF(AND(ISNUMBER(D63),ISNUMBER(D64),ISNUMBER(D65),ISNUMBER(D66),ISNUMBER(D67),ISNUMBER(D68)),IF(AF63=1,X63,IF(AF64=1,X64,IF(AF65=1,X65,IF(AF66=1,X66,"")))),"")</f>
        <v>3</v>
      </c>
      <c r="O63" s="3">
        <f>IF(AND(ISNUMBER(D63),ISNUMBER(D64),ISNUMBER(D65),ISNUMBER(D66),ISNUMBER(D67),ISNUMBER(D68)),IF(AF63=1,Y63,IF(AF64=1,Y64,IF(AF65=1,Y65,IF(AF66=1,Y66,"")))),"")</f>
        <v>2</v>
      </c>
      <c r="P63" s="3">
        <f>IF(AND(ISNUMBER(D63),ISNUMBER(D64),ISNUMBER(D65),ISNUMBER(D66),ISNUMBER(D67),ISNUMBER(D68)),IF(AF63=1,Z63,IF(AF64=1,Z64,IF(AF65=1,Z65,IF(AF66=1,Z66,"")))),"")</f>
        <v>1</v>
      </c>
      <c r="Q63" s="3">
        <f>IF(AND(ISNUMBER(D63),ISNUMBER(D64),ISNUMBER(D65),ISNUMBER(D66),ISNUMBER(D67),ISNUMBER(D68)),IF(AF63=1,AA63,IF(AF64=1,AA64,IF(AF65=1,AA65,IF(AF66=1,AA66,"")))),"")</f>
        <v>0</v>
      </c>
      <c r="R63" s="3">
        <f>IF(AND(ISNUMBER(D63),ISNUMBER(D64),ISNUMBER(D65),ISNUMBER(D66),ISNUMBER(D67),ISNUMBER(D68)),IF(AF63=1,AB63,IF(AF64=1,AB64,IF(AF65=1,AB65,IF(AF66=1,AB66,"")))),"")</f>
        <v>7</v>
      </c>
      <c r="S63" s="3">
        <f>IF(AND(ISNUMBER(D63),ISNUMBER(D64),ISNUMBER(D65),ISNUMBER(D66),ISNUMBER(D67),ISNUMBER(D68)),IF(AF63=1,AC63,IF(AF64=1,AC64,IF(AF65=1,AC65,IF(AF66=1,AC66,"")))),"")</f>
        <v>3</v>
      </c>
      <c r="T63" s="3">
        <f>IF(AND(ISNUMBER(D63),ISNUMBER(D64),ISNUMBER(D65),ISNUMBER(D66),ISNUMBER(D67),ISNUMBER(D68)),IF(AF63=1,AD63,IF(AF64=1,AD64,IF(AF65=1,AD65,IF(AF66=1,AD66,"")))),"")</f>
        <v>4</v>
      </c>
      <c r="U63" s="3">
        <f>IF(AND(ISNUMBER(D63),ISNUMBER(D64),ISNUMBER(D65),ISNUMBER(D66),ISNUMBER(D67),ISNUMBER(D68)),IF(AF63=1,AE63,IF(AF64=1,AE64,IF(AF65=1,AE65,IF(AF66=1,AE66,"")))),"")</f>
        <v>7</v>
      </c>
      <c r="W63" t="s">
        <v>122</v>
      </c>
      <c r="X63">
        <f>((C63="Spania")*ISNUMBER(D63))+((G63="Spania")*ISNUMBER(D63))+((C64="Spania")*ISNUMBER(D64))+((G64="Spania")*ISNUMBER(D64))+((C65="Spania")*ISNUMBER(D65))+((G65="Spania")*ISNUMBER(D65))+((C66="Spania")*ISNUMBER(D66))+((G66="Spania")*ISNUMBER(D66))+((C67="Spania")*ISNUMBER(D67))+((G67="Spania")*ISNUMBER(D67))+((C68="Spania")*ISNUMBER(D68))+((G68="Spania")*ISNUMBER(D68))</f>
        <v>3</v>
      </c>
      <c r="Y63">
        <f>((C63="Spania")*ISNUMBER(D63)*(D63&gt;F63))+((G63="Spania")*ISNUMBER(D63)*(F63&gt;D63))+((C64="Spania")*ISNUMBER(D64)*(D64&gt;F64))+((G64="Spania")*ISNUMBER(D64)*(F64&gt;D64))+((C65="Spania")*ISNUMBER(D65)*(D65&gt;F65))+((G65="Spania")*ISNUMBER(D65)*(F65&gt;D65))+((C66="Spania")*ISNUMBER(D66)*(D66&gt;F66))+((G66="Spania")*ISNUMBER(D66)*(F66&gt;D66))+((C67="Spania")*ISNUMBER(D67)*(D67&gt;F67))+((G67="Spania")*ISNUMBER(D67)*(F67&gt;D67))+((C68="Spania")*ISNUMBER(D68)*(D68&gt;F68))+((G68="Spania")*ISNUMBER(D68)*(F68&gt;D68))</f>
        <v>2</v>
      </c>
      <c r="Z63">
        <f>((C63="Spania")*ISNUMBER(D63)*(D63=F63))+((G63="Spania")*ISNUMBER(D63)*(F63=D63))+((C64="Spania")*ISNUMBER(D64)*(D64=F64))+((G64="Spania")*ISNUMBER(D64)*(F64=D64))+((C65="Spania")*ISNUMBER(D65)*(D65=F65))+((G65="Spania")*ISNUMBER(D65)*(F65=D65))+((C66="Spania")*ISNUMBER(D66)*(D66=F66))+((G66="Spania")*ISNUMBER(D66)*(F66=D66))+((C67="Spania")*ISNUMBER(D67)*(D67=F67))+((G67="Spania")*ISNUMBER(D67)*(F67=D67))+((C68="Spania")*ISNUMBER(D68)*(D68=F68))+((G68="Spania")*ISNUMBER(D68)*(F68=D68))</f>
        <v>1</v>
      </c>
      <c r="AA63">
        <f>((C63="Spania")*ISNUMBER(D63)*(D63&lt;F63))+((G63="Spania")*ISNUMBER(D63)*(F63&lt;D63))+((C64="Spania")*ISNUMBER(D64)*(D64&lt;F64))+((G64="Spania")*ISNUMBER(D64)*(F64&lt;D64))+((C65="Spania")*ISNUMBER(D65)*(D65&lt;F65))+((G65="Spania")*ISNUMBER(D65)*(F65&lt;D65))+((C66="Spania")*ISNUMBER(D66)*(D66&lt;F66))+((G66="Spania")*ISNUMBER(D66)*(F66&lt;D66))+((C67="Spania")*ISNUMBER(D67)*(D67&lt;F67))+((G67="Spania")*ISNUMBER(D67)*(F67&lt;D67))+((C68="Spania")*ISNUMBER(D68)*(D68&lt;F68))+((G68="Spania")*ISNUMBER(D68)*(F68&lt;D68))</f>
        <v>0</v>
      </c>
      <c r="AB63">
        <f>IF((C63="Spania")*ISNUMBER(D63),D63,0)+IF((G63="Spania")*ISNUMBER(D63),F63,0)+IF((C64="Spania")*ISNUMBER(D64),D64,0)+IF((G64="Spania")*ISNUMBER(D64),F64,0)+IF((C65="Spania")*ISNUMBER(D65),D65,0)+IF((G65="Spania")*ISNUMBER(D65),F65,0)+IF((C66="Spania")*ISNUMBER(D66),D66,0)+IF((G66="Spania")*ISNUMBER(D66),F66,0)+IF((C67="Spania")*ISNUMBER(D67),D67,0)+IF((G67="Spania")*ISNUMBER(D67),F67,0)+IF((C68="Spania")*ISNUMBER(D68),D68,0)+IF((G68="Spania")*ISNUMBER(D68),F68,0)</f>
        <v>7</v>
      </c>
      <c r="AC63">
        <f>IF((C63="Spania")*ISNUMBER(D63),F63,0)+IF((G63="Spania")*ISNUMBER(D63),D63,0)+IF((C64="Spania")*ISNUMBER(D64),F64,0)+IF((G64="Spania")*ISNUMBER(D64),D64,0)+IF((C65="Spania")*ISNUMBER(D65),F65,0)+IF((G65="Spania")*ISNUMBER(D65),D65,0)+IF((C66="Spania")*ISNUMBER(D66),F66,0)+IF((G66="Spania")*ISNUMBER(D66),D66,0)+IF((C67="Spania")*ISNUMBER(D67),F67,0)+IF((G67="Spania")*ISNUMBER(D67),D67,0)+IF((C68="Spania")*ISNUMBER(D68),F68,0)+IF((G68="Spania")*ISNUMBER(D68),D68,0)</f>
        <v>3</v>
      </c>
      <c r="AD63">
        <f>AB63-AC63</f>
        <v>4</v>
      </c>
      <c r="AE63">
        <f>3*Y63+Z63</f>
        <v>7</v>
      </c>
      <c r="AF63">
        <f>1+((AE64&gt;AE63)+(AE64=AE63)*(AD64&gt;AD63)+(AE64=AE63)*(AD64=AD63)*(AB64&gt;AB63)&gt;0)*1+((AE65&gt;AE63)+(AE65=AE63)*(AD65&gt;AD63)+(AE65=AE63)*(AD65=AD63)*(AB65&gt;AB63)&gt;0)*1+((AE66&gt;AE63)+(AE66=AE63)*(AD66&gt;AD63)+(AE66=AE63)*(AD66=AD63)*(AB66&gt;AB63)&gt;0)*1</f>
        <v>1</v>
      </c>
    </row>
    <row r="64" spans="1:32" ht="16.5" customHeight="1" x14ac:dyDescent="0.3">
      <c r="A64" s="7">
        <v>44</v>
      </c>
      <c r="B64" s="7" t="s">
        <v>121</v>
      </c>
      <c r="C64" s="8" t="s">
        <v>124</v>
      </c>
      <c r="D64" s="5">
        <v>0</v>
      </c>
      <c r="E64" s="7" t="s">
        <v>29</v>
      </c>
      <c r="F64" s="5">
        <v>2</v>
      </c>
      <c r="G64" s="8" t="s">
        <v>125</v>
      </c>
      <c r="H64" s="7" t="s">
        <v>115</v>
      </c>
      <c r="I64" s="7" t="s">
        <v>59</v>
      </c>
      <c r="J64" s="8" t="s">
        <v>75</v>
      </c>
      <c r="K64" s="9" t="s">
        <v>40</v>
      </c>
      <c r="M64" s="4" t="str">
        <f>IF(AND(ISNUMBER(D63),ISNUMBER(D64),ISNUMBER(D65),ISNUMBER(D66),ISNUMBER(D67),ISNUMBER(D68)),IF(AF63=2,W63,IF(AF64=2,W64,IF(AF65=2,W65,IF(AF66=2,W66,"")))),"")</f>
        <v>Uruguay</v>
      </c>
      <c r="N64" s="3">
        <f>IF(AND(ISNUMBER(D63),ISNUMBER(D64),ISNUMBER(D65),ISNUMBER(D66),ISNUMBER(D67),ISNUMBER(D68)),IF(AF63=2,X63,IF(AF64=2,X64,IF(AF65=2,X65,IF(AF66=2,X66,"")))),"")</f>
        <v>3</v>
      </c>
      <c r="O64" s="3">
        <f>IF(AND(ISNUMBER(D63),ISNUMBER(D64),ISNUMBER(D65),ISNUMBER(D66),ISNUMBER(D67),ISNUMBER(D68)),IF(AF63=2,Y63,IF(AF64=2,Y64,IF(AF65=2,Y65,IF(AF66=2,Y66,"")))),"")</f>
        <v>2</v>
      </c>
      <c r="P64" s="3">
        <f>IF(AND(ISNUMBER(D63),ISNUMBER(D64),ISNUMBER(D65),ISNUMBER(D66),ISNUMBER(D67),ISNUMBER(D68)),IF(AF63=2,Z63,IF(AF64=2,Z64,IF(AF65=2,Z65,IF(AF66=2,Z66,"")))),"")</f>
        <v>1</v>
      </c>
      <c r="Q64" s="3">
        <f>IF(AND(ISNUMBER(D63),ISNUMBER(D64),ISNUMBER(D65),ISNUMBER(D66),ISNUMBER(D67),ISNUMBER(D68)),IF(AF63=2,AA63,IF(AF64=2,AA64,IF(AF65=2,AA65,IF(AF66=2,AA66,"")))),"")</f>
        <v>0</v>
      </c>
      <c r="R64" s="3">
        <f>IF(AND(ISNUMBER(D63),ISNUMBER(D64),ISNUMBER(D65),ISNUMBER(D66),ISNUMBER(D67),ISNUMBER(D68)),IF(AF63=2,AB63,IF(AF64=2,AB64,IF(AF65=2,AB65,IF(AF66=2,AB66,"")))),"")</f>
        <v>7</v>
      </c>
      <c r="S64" s="3">
        <f>IF(AND(ISNUMBER(D63),ISNUMBER(D64),ISNUMBER(D65),ISNUMBER(D66),ISNUMBER(D67),ISNUMBER(D68)),IF(AF63=2,AC63,IF(AF64=2,AC64,IF(AF65=2,AC65,IF(AF66=2,AC66,"")))),"")</f>
        <v>4</v>
      </c>
      <c r="T64" s="3">
        <f>IF(AND(ISNUMBER(D63),ISNUMBER(D64),ISNUMBER(D65),ISNUMBER(D66),ISNUMBER(D67),ISNUMBER(D68)),IF(AF63=2,AD63,IF(AF64=2,AD64,IF(AF65=2,AD65,IF(AF66=2,AD66,"")))),"")</f>
        <v>3</v>
      </c>
      <c r="U64" s="3">
        <f>IF(AND(ISNUMBER(D63),ISNUMBER(D64),ISNUMBER(D65),ISNUMBER(D66),ISNUMBER(D67),ISNUMBER(D68)),IF(AF63=2,AE63,IF(AF64=2,AE64,IF(AF65=2,AE65,IF(AF66=2,AE66,"")))),"")</f>
        <v>7</v>
      </c>
      <c r="W64" t="s">
        <v>123</v>
      </c>
      <c r="X64">
        <f>((C63="Kapp Verde")*ISNUMBER(D63))+((G63="Kapp Verde")*ISNUMBER(D63))+((C64="Kapp Verde")*ISNUMBER(D64))+((G64="Kapp Verde")*ISNUMBER(D64))+((C65="Kapp Verde")*ISNUMBER(D65))+((G65="Kapp Verde")*ISNUMBER(D65))+((C66="Kapp Verde")*ISNUMBER(D66))+((G66="Kapp Verde")*ISNUMBER(D66))+((C67="Kapp Verde")*ISNUMBER(D67))+((G67="Kapp Verde")*ISNUMBER(D67))+((C68="Kapp Verde")*ISNUMBER(D68))+((G68="Kapp Verde")*ISNUMBER(D68))</f>
        <v>3</v>
      </c>
      <c r="Y64">
        <f>((C63="Kapp Verde")*ISNUMBER(D63)*(D63&gt;F63))+((G63="Kapp Verde")*ISNUMBER(D63)*(F63&gt;D63))+((C64="Kapp Verde")*ISNUMBER(D64)*(D64&gt;F64))+((G64="Kapp Verde")*ISNUMBER(D64)*(F64&gt;D64))+((C65="Kapp Verde")*ISNUMBER(D65)*(D65&gt;F65))+((G65="Kapp Verde")*ISNUMBER(D65)*(F65&gt;D65))+((C66="Kapp Verde")*ISNUMBER(D66)*(D66&gt;F66))+((G66="Kapp Verde")*ISNUMBER(D66)*(F66&gt;D66))+((C67="Kapp Verde")*ISNUMBER(D67)*(D67&gt;F67))+((G67="Kapp Verde")*ISNUMBER(D67)*(F67&gt;D67))+((C68="Kapp Verde")*ISNUMBER(D68)*(D68&gt;F68))+((G68="Kapp Verde")*ISNUMBER(D68)*(F68&gt;D68))</f>
        <v>0</v>
      </c>
      <c r="Z64">
        <f>((C63="Kapp Verde")*ISNUMBER(D63)*(D63=F63))+((G63="Kapp Verde")*ISNUMBER(D63)*(F63=D63))+((C64="Kapp Verde")*ISNUMBER(D64)*(D64=F64))+((G64="Kapp Verde")*ISNUMBER(D64)*(F64=D64))+((C65="Kapp Verde")*ISNUMBER(D65)*(D65=F65))+((G65="Kapp Verde")*ISNUMBER(D65)*(F65=D65))+((C66="Kapp Verde")*ISNUMBER(D66)*(D66=F66))+((G66="Kapp Verde")*ISNUMBER(D66)*(F66=D66))+((C67="Kapp Verde")*ISNUMBER(D67)*(D67=F67))+((G67="Kapp Verde")*ISNUMBER(D67)*(F67=D67))+((C68="Kapp Verde")*ISNUMBER(D68)*(D68=F68))+((G68="Kapp Verde")*ISNUMBER(D68)*(F68=D68))</f>
        <v>1</v>
      </c>
      <c r="AA64">
        <f>((C63="Kapp Verde")*ISNUMBER(D63)*(D63&lt;F63))+((G63="Kapp Verde")*ISNUMBER(D63)*(F63&lt;D63))+((C64="Kapp Verde")*ISNUMBER(D64)*(D64&lt;F64))+((G64="Kapp Verde")*ISNUMBER(D64)*(F64&lt;D64))+((C65="Kapp Verde")*ISNUMBER(D65)*(D65&lt;F65))+((G65="Kapp Verde")*ISNUMBER(D65)*(F65&lt;D65))+((C66="Kapp Verde")*ISNUMBER(D66)*(D66&lt;F66))+((G66="Kapp Verde")*ISNUMBER(D66)*(F66&lt;D66))+((C67="Kapp Verde")*ISNUMBER(D67)*(D67&lt;F67))+((G67="Kapp Verde")*ISNUMBER(D67)*(F67&lt;D67))+((C68="Kapp Verde")*ISNUMBER(D68)*(D68&lt;F68))+((G68="Kapp Verde")*ISNUMBER(D68)*(F68&lt;D68))</f>
        <v>2</v>
      </c>
      <c r="AB64">
        <f>IF((C63="Kapp Verde")*ISNUMBER(D63),D63,0)+IF((G63="Kapp Verde")*ISNUMBER(D63),F63,0)+IF((C64="Kapp Verde")*ISNUMBER(D64),D64,0)+IF((G64="Kapp Verde")*ISNUMBER(D64),F64,0)+IF((C65="Kapp Verde")*ISNUMBER(D65),D65,0)+IF((G65="Kapp Verde")*ISNUMBER(D65),F65,0)+IF((C66="Kapp Verde")*ISNUMBER(D66),D66,0)+IF((G66="Kapp Verde")*ISNUMBER(D66),F66,0)+IF((C67="Kapp Verde")*ISNUMBER(D67),D67,0)+IF((G67="Kapp Verde")*ISNUMBER(D67),F67,0)+IF((C68="Kapp Verde")*ISNUMBER(D68),D68,0)+IF((G68="Kapp Verde")*ISNUMBER(D68),F68,0)</f>
        <v>2</v>
      </c>
      <c r="AC64">
        <f>IF((C63="Kapp Verde")*ISNUMBER(D63),F63,0)+IF((G63="Kapp Verde")*ISNUMBER(D63),D63,0)+IF((C64="Kapp Verde")*ISNUMBER(D64),F64,0)+IF((G64="Kapp Verde")*ISNUMBER(D64),D64,0)+IF((C65="Kapp Verde")*ISNUMBER(D65),F65,0)+IF((G65="Kapp Verde")*ISNUMBER(D65),D65,0)+IF((C66="Kapp Verde")*ISNUMBER(D66),F66,0)+IF((G66="Kapp Verde")*ISNUMBER(D66),D66,0)+IF((C67="Kapp Verde")*ISNUMBER(D67),F67,0)+IF((G67="Kapp Verde")*ISNUMBER(D67),D67,0)+IF((C68="Kapp Verde")*ISNUMBER(D68),F68,0)+IF((G68="Kapp Verde")*ISNUMBER(D68),D68,0)</f>
        <v>6</v>
      </c>
      <c r="AD64">
        <f>AB64-AC64</f>
        <v>-4</v>
      </c>
      <c r="AE64">
        <f>3*Y64+Z64</f>
        <v>1</v>
      </c>
      <c r="AF64">
        <f>1+((AE63&gt;AE64)+(AE63=AE64)*(AD63&gt;AD64)+(AE63=AE64)*(AD63=AD64)*(AB63&gt;AB64)&gt;0)*1+((AE65&gt;AE64)+(AE65=AE64)*(AD65&gt;AD64)+(AE65=AE64)*(AD65=AD64)*(AB65&gt;AB64)&gt;0)*1+((AE66&gt;AE64)+(AE66=AE64)*(AD66&gt;AD64)+(AE66=AE64)*(AD66=AD64)*(AB66&gt;AB64)&gt;0)*1</f>
        <v>4</v>
      </c>
    </row>
    <row r="65" spans="1:32" ht="16.5" customHeight="1" x14ac:dyDescent="0.3">
      <c r="A65" s="3">
        <v>45</v>
      </c>
      <c r="B65" s="3" t="s">
        <v>121</v>
      </c>
      <c r="C65" s="4" t="s">
        <v>122</v>
      </c>
      <c r="D65" s="5">
        <v>2</v>
      </c>
      <c r="E65" s="3" t="s">
        <v>29</v>
      </c>
      <c r="F65" s="5">
        <v>1</v>
      </c>
      <c r="G65" s="4" t="s">
        <v>124</v>
      </c>
      <c r="H65" s="3" t="s">
        <v>97</v>
      </c>
      <c r="I65" s="3" t="s">
        <v>42</v>
      </c>
      <c r="J65" s="4" t="s">
        <v>43</v>
      </c>
      <c r="K65" s="9" t="s">
        <v>40</v>
      </c>
      <c r="M65" s="4" t="str">
        <f>IF(AND(ISNUMBER(D63),ISNUMBER(D64),ISNUMBER(D65),ISNUMBER(D66),ISNUMBER(D67),ISNUMBER(D68)),IF(AF63=3,W63,IF(AF64=3,W64,IF(AF65=3,W65,IF(AF66=3,W66,"")))),"")</f>
        <v>Saudi Arabia</v>
      </c>
      <c r="N65" s="3">
        <f>IF(AND(ISNUMBER(D63),ISNUMBER(D64),ISNUMBER(D65),ISNUMBER(D66),ISNUMBER(D67),ISNUMBER(D68)),IF(AF63=3,X63,IF(AF64=3,X64,IF(AF65=3,X65,IF(AF66=3,X66,"")))),"")</f>
        <v>3</v>
      </c>
      <c r="O65" s="3">
        <f>IF(AND(ISNUMBER(D63),ISNUMBER(D64),ISNUMBER(D65),ISNUMBER(D66),ISNUMBER(D67),ISNUMBER(D68)),IF(AF63=3,Y63,IF(AF64=3,Y64,IF(AF65=3,Y65,IF(AF66=3,Y66,"")))),"")</f>
        <v>0</v>
      </c>
      <c r="P65" s="3">
        <f>IF(AND(ISNUMBER(D63),ISNUMBER(D64),ISNUMBER(D65),ISNUMBER(D66),ISNUMBER(D67),ISNUMBER(D68)),IF(AF63=3,Z63,IF(AF64=3,Z64,IF(AF65=3,Z65,IF(AF66=3,Z66,"")))),"")</f>
        <v>1</v>
      </c>
      <c r="Q65" s="3">
        <f>IF(AND(ISNUMBER(D63),ISNUMBER(D64),ISNUMBER(D65),ISNUMBER(D66),ISNUMBER(D67),ISNUMBER(D68)),IF(AF63=3,AA63,IF(AF64=3,AA64,IF(AF65=3,AA65,IF(AF66=3,AA66,"")))),"")</f>
        <v>2</v>
      </c>
      <c r="R65" s="3">
        <f>IF(AND(ISNUMBER(D63),ISNUMBER(D64),ISNUMBER(D65),ISNUMBER(D66),ISNUMBER(D67),ISNUMBER(D68)),IF(AF63=3,AB63,IF(AF64=3,AB64,IF(AF65=3,AB65,IF(AF66=3,AB66,"")))),"")</f>
        <v>1</v>
      </c>
      <c r="S65" s="3">
        <f>IF(AND(ISNUMBER(D63),ISNUMBER(D64),ISNUMBER(D65),ISNUMBER(D66),ISNUMBER(D67),ISNUMBER(D68)),IF(AF63=3,AC63,IF(AF64=3,AC64,IF(AF65=3,AC65,IF(AF66=3,AC66,"")))),"")</f>
        <v>4</v>
      </c>
      <c r="T65" s="3">
        <f>IF(AND(ISNUMBER(D63),ISNUMBER(D64),ISNUMBER(D65),ISNUMBER(D66),ISNUMBER(D67),ISNUMBER(D68)),IF(AF63=3,AD63,IF(AF64=3,AD64,IF(AF65=3,AD65,IF(AF66=3,AD66,"")))),"")</f>
        <v>-3</v>
      </c>
      <c r="U65" s="3">
        <f>IF(AND(ISNUMBER(D63),ISNUMBER(D64),ISNUMBER(D65),ISNUMBER(D66),ISNUMBER(D67),ISNUMBER(D68)),IF(AF63=3,AE63,IF(AF64=3,AE64,IF(AF65=3,AE65,IF(AF66=3,AE66,"")))),"")</f>
        <v>1</v>
      </c>
      <c r="W65" t="s">
        <v>124</v>
      </c>
      <c r="X65">
        <f>((C63="Saudi Arabia")*ISNUMBER(D63))+((G63="Saudi Arabia")*ISNUMBER(D63))+((C64="Saudi Arabia")*ISNUMBER(D64))+((G64="Saudi Arabia")*ISNUMBER(D64))+((C65="Saudi Arabia")*ISNUMBER(D65))+((G65="Saudi Arabia")*ISNUMBER(D65))+((C66="Saudi Arabia")*ISNUMBER(D66))+((G66="Saudi Arabia")*ISNUMBER(D66))+((C67="Saudi Arabia")*ISNUMBER(D67))+((G67="Saudi Arabia")*ISNUMBER(D67))+((C68="Saudi Arabia")*ISNUMBER(D68))+((G68="Saudi Arabia")*ISNUMBER(D68))</f>
        <v>3</v>
      </c>
      <c r="Y65">
        <f>((C63="Saudi Arabia")*ISNUMBER(D63)*(D63&gt;F63))+((G63="Saudi Arabia")*ISNUMBER(D63)*(F63&gt;D63))+((C64="Saudi Arabia")*ISNUMBER(D64)*(D64&gt;F64))+((G64="Saudi Arabia")*ISNUMBER(D64)*(F64&gt;D64))+((C65="Saudi Arabia")*ISNUMBER(D65)*(D65&gt;F65))+((G65="Saudi Arabia")*ISNUMBER(D65)*(F65&gt;D65))+((C66="Saudi Arabia")*ISNUMBER(D66)*(D66&gt;F66))+((G66="Saudi Arabia")*ISNUMBER(D66)*(F66&gt;D66))+((C67="Saudi Arabia")*ISNUMBER(D67)*(D67&gt;F67))+((G67="Saudi Arabia")*ISNUMBER(D67)*(F67&gt;D67))+((C68="Saudi Arabia")*ISNUMBER(D68)*(D68&gt;F68))+((G68="Saudi Arabia")*ISNUMBER(D68)*(F68&gt;D68))</f>
        <v>0</v>
      </c>
      <c r="Z65">
        <f>((C63="Saudi Arabia")*ISNUMBER(D63)*(D63=F63))+((G63="Saudi Arabia")*ISNUMBER(D63)*(F63=D63))+((C64="Saudi Arabia")*ISNUMBER(D64)*(D64=F64))+((G64="Saudi Arabia")*ISNUMBER(D64)*(F64=D64))+((C65="Saudi Arabia")*ISNUMBER(D65)*(D65=F65))+((G65="Saudi Arabia")*ISNUMBER(D65)*(F65=D65))+((C66="Saudi Arabia")*ISNUMBER(D66)*(D66=F66))+((G66="Saudi Arabia")*ISNUMBER(D66)*(F66=D66))+((C67="Saudi Arabia")*ISNUMBER(D67)*(D67=F67))+((G67="Saudi Arabia")*ISNUMBER(D67)*(F67=D67))+((C68="Saudi Arabia")*ISNUMBER(D68)*(D68=F68))+((G68="Saudi Arabia")*ISNUMBER(D68)*(F68=D68))</f>
        <v>1</v>
      </c>
      <c r="AA65">
        <f>((C63="Saudi Arabia")*ISNUMBER(D63)*(D63&lt;F63))+((G63="Saudi Arabia")*ISNUMBER(D63)*(F63&lt;D63))+((C64="Saudi Arabia")*ISNUMBER(D64)*(D64&lt;F64))+((G64="Saudi Arabia")*ISNUMBER(D64)*(F64&lt;D64))+((C65="Saudi Arabia")*ISNUMBER(D65)*(D65&lt;F65))+((G65="Saudi Arabia")*ISNUMBER(D65)*(F65&lt;D65))+((C66="Saudi Arabia")*ISNUMBER(D66)*(D66&lt;F66))+((G66="Saudi Arabia")*ISNUMBER(D66)*(F66&lt;D66))+((C67="Saudi Arabia")*ISNUMBER(D67)*(D67&lt;F67))+((G67="Saudi Arabia")*ISNUMBER(D67)*(F67&lt;D67))+((C68="Saudi Arabia")*ISNUMBER(D68)*(D68&lt;F68))+((G68="Saudi Arabia")*ISNUMBER(D68)*(F68&lt;D68))</f>
        <v>2</v>
      </c>
      <c r="AB65">
        <f>IF((C63="Saudi Arabia")*ISNUMBER(D63),D63,0)+IF((G63="Saudi Arabia")*ISNUMBER(D63),F63,0)+IF((C64="Saudi Arabia")*ISNUMBER(D64),D64,0)+IF((G64="Saudi Arabia")*ISNUMBER(D64),F64,0)+IF((C65="Saudi Arabia")*ISNUMBER(D65),D65,0)+IF((G65="Saudi Arabia")*ISNUMBER(D65),F65,0)+IF((C66="Saudi Arabia")*ISNUMBER(D66),D66,0)+IF((G66="Saudi Arabia")*ISNUMBER(D66),F66,0)+IF((C67="Saudi Arabia")*ISNUMBER(D67),D67,0)+IF((G67="Saudi Arabia")*ISNUMBER(D67),F67,0)+IF((C68="Saudi Arabia")*ISNUMBER(D68),D68,0)+IF((G68="Saudi Arabia")*ISNUMBER(D68),F68,0)</f>
        <v>1</v>
      </c>
      <c r="AC65">
        <f>IF((C63="Saudi Arabia")*ISNUMBER(D63),F63,0)+IF((G63="Saudi Arabia")*ISNUMBER(D63),D63,0)+IF((C64="Saudi Arabia")*ISNUMBER(D64),F64,0)+IF((G64="Saudi Arabia")*ISNUMBER(D64),D64,0)+IF((C65="Saudi Arabia")*ISNUMBER(D65),F65,0)+IF((G65="Saudi Arabia")*ISNUMBER(D65),D65,0)+IF((C66="Saudi Arabia")*ISNUMBER(D66),F66,0)+IF((G66="Saudi Arabia")*ISNUMBER(D66),D66,0)+IF((C67="Saudi Arabia")*ISNUMBER(D67),F67,0)+IF((G67="Saudi Arabia")*ISNUMBER(D67),D67,0)+IF((C68="Saudi Arabia")*ISNUMBER(D68),F68,0)+IF((G68="Saudi Arabia")*ISNUMBER(D68),D68,0)</f>
        <v>4</v>
      </c>
      <c r="AD65">
        <f>AB65-AC65</f>
        <v>-3</v>
      </c>
      <c r="AE65">
        <f>3*Y65+Z65</f>
        <v>1</v>
      </c>
      <c r="AF65">
        <f>1+((AE63&gt;AE65)+(AE63=AE65)*(AD63&gt;AD65)+(AE63=AE65)*(AD63=AD65)*(AB63&gt;AB65)&gt;0)*1+((AE64&gt;AE65)+(AE64=AE65)*(AD64&gt;AD65)+(AE64=AE65)*(AD64=AD65)*(AB64&gt;AB65)&gt;0)*1+((AE66&gt;AE65)+(AE66=AE65)*(AD66&gt;AD65)+(AE66=AE65)*(AD66=AD65)*(AB66&gt;AB65)&gt;0)*1</f>
        <v>3</v>
      </c>
    </row>
    <row r="66" spans="1:32" ht="16.5" customHeight="1" x14ac:dyDescent="0.3">
      <c r="A66" s="7">
        <v>46</v>
      </c>
      <c r="B66" s="7" t="s">
        <v>121</v>
      </c>
      <c r="C66" s="8" t="s">
        <v>125</v>
      </c>
      <c r="D66" s="5">
        <v>3</v>
      </c>
      <c r="E66" s="7" t="s">
        <v>29</v>
      </c>
      <c r="F66" s="5">
        <v>2</v>
      </c>
      <c r="G66" s="8" t="s">
        <v>123</v>
      </c>
      <c r="H66" s="7" t="s">
        <v>116</v>
      </c>
      <c r="I66" s="7" t="s">
        <v>59</v>
      </c>
      <c r="J66" s="8" t="s">
        <v>75</v>
      </c>
      <c r="K66" s="6" t="s">
        <v>34</v>
      </c>
      <c r="M66" s="4" t="str">
        <f>IF(AND(ISNUMBER(D63),ISNUMBER(D64),ISNUMBER(D65),ISNUMBER(D66),ISNUMBER(D67),ISNUMBER(D68)),IF(AF63=4,W63,IF(AF64=4,W64,IF(AF65=4,W65,IF(AF66=4,W66,"")))),"")</f>
        <v>Kapp Verde</v>
      </c>
      <c r="N66" s="3">
        <f>IF(AND(ISNUMBER(D63),ISNUMBER(D64),ISNUMBER(D65),ISNUMBER(D66),ISNUMBER(D67),ISNUMBER(D68)),IF(AF63=4,X63,IF(AF64=4,X64,IF(AF65=4,X65,IF(AF66=4,X66,"")))),"")</f>
        <v>3</v>
      </c>
      <c r="O66" s="3">
        <f>IF(AND(ISNUMBER(D63),ISNUMBER(D64),ISNUMBER(D65),ISNUMBER(D66),ISNUMBER(D67),ISNUMBER(D68)),IF(AF63=4,Y63,IF(AF64=4,Y64,IF(AF65=4,Y65,IF(AF66=4,Y66,"")))),"")</f>
        <v>0</v>
      </c>
      <c r="P66" s="3">
        <f>IF(AND(ISNUMBER(D63),ISNUMBER(D64),ISNUMBER(D65),ISNUMBER(D66),ISNUMBER(D67),ISNUMBER(D68)),IF(AF63=4,Z63,IF(AF64=4,Z64,IF(AF65=4,Z65,IF(AF66=4,Z66,"")))),"")</f>
        <v>1</v>
      </c>
      <c r="Q66" s="3">
        <f>IF(AND(ISNUMBER(D63),ISNUMBER(D64),ISNUMBER(D65),ISNUMBER(D66),ISNUMBER(D67),ISNUMBER(D68)),IF(AF63=4,AA63,IF(AF64=4,AA64,IF(AF65=4,AA65,IF(AF66=4,AA66,"")))),"")</f>
        <v>2</v>
      </c>
      <c r="R66" s="3">
        <f>IF(AND(ISNUMBER(D63),ISNUMBER(D64),ISNUMBER(D65),ISNUMBER(D66),ISNUMBER(D67),ISNUMBER(D68)),IF(AF63=4,AB63,IF(AF64=4,AB64,IF(AF65=4,AB65,IF(AF66=4,AB66,"")))),"")</f>
        <v>2</v>
      </c>
      <c r="S66" s="3">
        <f>IF(AND(ISNUMBER(D63),ISNUMBER(D64),ISNUMBER(D65),ISNUMBER(D66),ISNUMBER(D67),ISNUMBER(D68)),IF(AF63=4,AC63,IF(AF64=4,AC64,IF(AF65=4,AC65,IF(AF66=4,AC66,"")))),"")</f>
        <v>6</v>
      </c>
      <c r="T66" s="3">
        <f>IF(AND(ISNUMBER(D63),ISNUMBER(D64),ISNUMBER(D65),ISNUMBER(D66),ISNUMBER(D67),ISNUMBER(D68)),IF(AF63=4,AD63,IF(AF64=4,AD64,IF(AF65=4,AD65,IF(AF66=4,AD66,"")))),"")</f>
        <v>-4</v>
      </c>
      <c r="U66" s="3">
        <f>IF(AND(ISNUMBER(D63),ISNUMBER(D64),ISNUMBER(D65),ISNUMBER(D66),ISNUMBER(D67),ISNUMBER(D68)),IF(AF63=4,AE63,IF(AF64=4,AE64,IF(AF65=4,AE65,IF(AF66=4,AE66,"")))),"")</f>
        <v>1</v>
      </c>
      <c r="W66" t="s">
        <v>125</v>
      </c>
      <c r="X66">
        <f>((C63="Uruguay")*ISNUMBER(D63))+((G63="Uruguay")*ISNUMBER(D63))+((C64="Uruguay")*ISNUMBER(D64))+((G64="Uruguay")*ISNUMBER(D64))+((C65="Uruguay")*ISNUMBER(D65))+((G65="Uruguay")*ISNUMBER(D65))+((C66="Uruguay")*ISNUMBER(D66))+((G66="Uruguay")*ISNUMBER(D66))+((C67="Uruguay")*ISNUMBER(D67))+((G67="Uruguay")*ISNUMBER(D67))+((C68="Uruguay")*ISNUMBER(D68))+((G68="Uruguay")*ISNUMBER(D68))</f>
        <v>3</v>
      </c>
      <c r="Y66">
        <f>((C63="Uruguay")*ISNUMBER(D63)*(D63&gt;F63))+((G63="Uruguay")*ISNUMBER(D63)*(F63&gt;D63))+((C64="Uruguay")*ISNUMBER(D64)*(D64&gt;F64))+((G64="Uruguay")*ISNUMBER(D64)*(F64&gt;D64))+((C65="Uruguay")*ISNUMBER(D65)*(D65&gt;F65))+((G65="Uruguay")*ISNUMBER(D65)*(F65&gt;D65))+((C66="Uruguay")*ISNUMBER(D66)*(D66&gt;F66))+((G66="Uruguay")*ISNUMBER(D66)*(F66&gt;D66))+((C67="Uruguay")*ISNUMBER(D67)*(D67&gt;F67))+((G67="Uruguay")*ISNUMBER(D67)*(F67&gt;D67))+((C68="Uruguay")*ISNUMBER(D68)*(D68&gt;F68))+((G68="Uruguay")*ISNUMBER(D68)*(F68&gt;D68))</f>
        <v>2</v>
      </c>
      <c r="Z66">
        <f>((C63="Uruguay")*ISNUMBER(D63)*(D63=F63))+((G63="Uruguay")*ISNUMBER(D63)*(F63=D63))+((C64="Uruguay")*ISNUMBER(D64)*(D64=F64))+((G64="Uruguay")*ISNUMBER(D64)*(F64=D64))+((C65="Uruguay")*ISNUMBER(D65)*(D65=F65))+((G65="Uruguay")*ISNUMBER(D65)*(F65=D65))+((C66="Uruguay")*ISNUMBER(D66)*(D66=F66))+((G66="Uruguay")*ISNUMBER(D66)*(F66=D66))+((C67="Uruguay")*ISNUMBER(D67)*(D67=F67))+((G67="Uruguay")*ISNUMBER(D67)*(F67=D67))+((C68="Uruguay")*ISNUMBER(D68)*(D68=F68))+((G68="Uruguay")*ISNUMBER(D68)*(F68=D68))</f>
        <v>1</v>
      </c>
      <c r="AA66">
        <f>((C63="Uruguay")*ISNUMBER(D63)*(D63&lt;F63))+((G63="Uruguay")*ISNUMBER(D63)*(F63&lt;D63))+((C64="Uruguay")*ISNUMBER(D64)*(D64&lt;F64))+((G64="Uruguay")*ISNUMBER(D64)*(F64&lt;D64))+((C65="Uruguay")*ISNUMBER(D65)*(D65&lt;F65))+((G65="Uruguay")*ISNUMBER(D65)*(F65&lt;D65))+((C66="Uruguay")*ISNUMBER(D66)*(D66&lt;F66))+((G66="Uruguay")*ISNUMBER(D66)*(F66&lt;D66))+((C67="Uruguay")*ISNUMBER(D67)*(D67&lt;F67))+((G67="Uruguay")*ISNUMBER(D67)*(F67&lt;D67))+((C68="Uruguay")*ISNUMBER(D68)*(D68&lt;F68))+((G68="Uruguay")*ISNUMBER(D68)*(F68&lt;D68))</f>
        <v>0</v>
      </c>
      <c r="AB66">
        <f>IF((C63="Uruguay")*ISNUMBER(D63),D63,0)+IF((G63="Uruguay")*ISNUMBER(D63),F63,0)+IF((C64="Uruguay")*ISNUMBER(D64),D64,0)+IF((G64="Uruguay")*ISNUMBER(D64),F64,0)+IF((C65="Uruguay")*ISNUMBER(D65),D65,0)+IF((G65="Uruguay")*ISNUMBER(D65),F65,0)+IF((C66="Uruguay")*ISNUMBER(D66),D66,0)+IF((G66="Uruguay")*ISNUMBER(D66),F66,0)+IF((C67="Uruguay")*ISNUMBER(D67),D67,0)+IF((G67="Uruguay")*ISNUMBER(D67),F67,0)+IF((C68="Uruguay")*ISNUMBER(D68),D68,0)+IF((G68="Uruguay")*ISNUMBER(D68),F68,0)</f>
        <v>7</v>
      </c>
      <c r="AC66">
        <f>IF((C63="Uruguay")*ISNUMBER(D63),F63,0)+IF((G63="Uruguay")*ISNUMBER(D63),D63,0)+IF((C64="Uruguay")*ISNUMBER(D64),F64,0)+IF((G64="Uruguay")*ISNUMBER(D64),D64,0)+IF((C65="Uruguay")*ISNUMBER(D65),F65,0)+IF((G65="Uruguay")*ISNUMBER(D65),D65,0)+IF((C66="Uruguay")*ISNUMBER(D66),F66,0)+IF((G66="Uruguay")*ISNUMBER(D66),D66,0)+IF((C67="Uruguay")*ISNUMBER(D67),F67,0)+IF((G67="Uruguay")*ISNUMBER(D67),D67,0)+IF((C68="Uruguay")*ISNUMBER(D68),F68,0)+IF((G68="Uruguay")*ISNUMBER(D68),D68,0)</f>
        <v>4</v>
      </c>
      <c r="AD66">
        <f>AB66-AC66</f>
        <v>3</v>
      </c>
      <c r="AE66">
        <f>3*Y66+Z66</f>
        <v>7</v>
      </c>
      <c r="AF66">
        <f>1+((AE63&gt;AE66)+(AE63=AE66)*(AD63&gt;AD66)+(AE63=AE66)*(AD63=AD66)*(AB63&gt;AB66)&gt;0)*1+((AE64&gt;AE66)+(AE64=AE66)*(AD64&gt;AD66)+(AE64=AE66)*(AD64=AD66)*(AB64&gt;AB66)&gt;0)*1+((AE65&gt;AE66)+(AE65=AE66)*(AD65&gt;AD66)+(AE65=AE66)*(AD65=AD66)*(AB65&gt;AB66)&gt;0)*1</f>
        <v>2</v>
      </c>
    </row>
    <row r="67" spans="1:32" ht="16.5" customHeight="1" x14ac:dyDescent="0.3">
      <c r="A67" s="3">
        <v>47</v>
      </c>
      <c r="B67" s="3" t="s">
        <v>121</v>
      </c>
      <c r="C67" s="4" t="s">
        <v>123</v>
      </c>
      <c r="D67" s="5">
        <v>0</v>
      </c>
      <c r="E67" s="3" t="s">
        <v>29</v>
      </c>
      <c r="F67" s="5">
        <v>0</v>
      </c>
      <c r="G67" s="4" t="s">
        <v>124</v>
      </c>
      <c r="H67" s="3" t="s">
        <v>117</v>
      </c>
      <c r="I67" s="3" t="s">
        <v>98</v>
      </c>
      <c r="J67" s="4" t="s">
        <v>91</v>
      </c>
      <c r="K67" s="9" t="s">
        <v>40</v>
      </c>
    </row>
    <row r="68" spans="1:32" ht="16.5" customHeight="1" x14ac:dyDescent="0.3">
      <c r="A68" s="7">
        <v>48</v>
      </c>
      <c r="B68" s="7" t="s">
        <v>121</v>
      </c>
      <c r="C68" s="8" t="s">
        <v>125</v>
      </c>
      <c r="D68" s="5">
        <v>2</v>
      </c>
      <c r="E68" s="7" t="s">
        <v>29</v>
      </c>
      <c r="F68" s="5">
        <v>2</v>
      </c>
      <c r="G68" s="8" t="s">
        <v>122</v>
      </c>
      <c r="H68" s="7" t="s">
        <v>117</v>
      </c>
      <c r="I68" s="7" t="s">
        <v>98</v>
      </c>
      <c r="J68" s="8" t="s">
        <v>39</v>
      </c>
      <c r="K68" s="9" t="s">
        <v>40</v>
      </c>
    </row>
    <row r="69" spans="1:32" ht="18.75" customHeight="1" x14ac:dyDescent="0.3">
      <c r="A69" s="61" t="s">
        <v>126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M69" s="62" t="s">
        <v>127</v>
      </c>
      <c r="N69" s="62"/>
      <c r="O69" s="62"/>
      <c r="P69" s="62"/>
      <c r="Q69" s="62"/>
      <c r="R69" s="62"/>
      <c r="S69" s="62"/>
      <c r="T69" s="62"/>
      <c r="U69" s="62"/>
    </row>
    <row r="70" spans="1:32" ht="15.75" customHeight="1" x14ac:dyDescent="0.3">
      <c r="A70" s="1" t="s">
        <v>8</v>
      </c>
      <c r="B70" s="1" t="s">
        <v>9</v>
      </c>
      <c r="C70" s="1" t="s">
        <v>10</v>
      </c>
      <c r="D70" s="1" t="s">
        <v>11</v>
      </c>
      <c r="E70" s="1"/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17</v>
      </c>
      <c r="M70" s="2" t="s">
        <v>18</v>
      </c>
      <c r="N70" s="2" t="s">
        <v>19</v>
      </c>
      <c r="O70" s="2" t="s">
        <v>20</v>
      </c>
      <c r="P70" s="2" t="s">
        <v>21</v>
      </c>
      <c r="Q70" s="2" t="s">
        <v>22</v>
      </c>
      <c r="R70" s="2" t="s">
        <v>23</v>
      </c>
      <c r="S70" s="2" t="s">
        <v>24</v>
      </c>
      <c r="T70" s="2" t="s">
        <v>25</v>
      </c>
      <c r="U70" s="2" t="s">
        <v>26</v>
      </c>
    </row>
    <row r="71" spans="1:32" ht="16.5" customHeight="1" x14ac:dyDescent="0.3">
      <c r="A71" s="3">
        <v>49</v>
      </c>
      <c r="B71" s="3" t="s">
        <v>128</v>
      </c>
      <c r="C71" s="4" t="s">
        <v>129</v>
      </c>
      <c r="D71" s="5">
        <v>2</v>
      </c>
      <c r="E71" s="3" t="s">
        <v>29</v>
      </c>
      <c r="F71" s="5">
        <v>1</v>
      </c>
      <c r="G71" s="4" t="s">
        <v>130</v>
      </c>
      <c r="H71" s="3" t="s">
        <v>115</v>
      </c>
      <c r="I71" s="3" t="s">
        <v>32</v>
      </c>
      <c r="J71" s="4" t="s">
        <v>69</v>
      </c>
      <c r="K71" s="6" t="s">
        <v>34</v>
      </c>
      <c r="M71" s="4" t="str">
        <f>IF(AND(ISNUMBER(D71),ISNUMBER(D72),ISNUMBER(D73),ISNUMBER(D74),ISNUMBER(D75),ISNUMBER(D76)),IF(AF71=1,W71,IF(AF72=1,W72,IF(AF73=1,W73,IF(AF74=1,W74,"")))),"")</f>
        <v>Frankrike</v>
      </c>
      <c r="N71" s="3">
        <f>IF(AND(ISNUMBER(D71),ISNUMBER(D72),ISNUMBER(D73),ISNUMBER(D74),ISNUMBER(D75),ISNUMBER(D76)),IF(AF71=1,X71,IF(AF72=1,X72,IF(AF73=1,X73,IF(AF74=1,X74,"")))),"")</f>
        <v>3</v>
      </c>
      <c r="O71" s="3">
        <f>IF(AND(ISNUMBER(D71),ISNUMBER(D72),ISNUMBER(D73),ISNUMBER(D74),ISNUMBER(D75),ISNUMBER(D76)),IF(AF71=1,Y71,IF(AF72=1,Y72,IF(AF73=1,Y73,IF(AF74=1,Y74,"")))),"")</f>
        <v>3</v>
      </c>
      <c r="P71" s="3">
        <f>IF(AND(ISNUMBER(D71),ISNUMBER(D72),ISNUMBER(D73),ISNUMBER(D74),ISNUMBER(D75),ISNUMBER(D76)),IF(AF71=1,Z71,IF(AF72=1,Z72,IF(AF73=1,Z73,IF(AF74=1,Z74,"")))),"")</f>
        <v>0</v>
      </c>
      <c r="Q71" s="3">
        <f>IF(AND(ISNUMBER(D71),ISNUMBER(D72),ISNUMBER(D73),ISNUMBER(D74),ISNUMBER(D75),ISNUMBER(D76)),IF(AF71=1,AA71,IF(AF72=1,AA72,IF(AF73=1,AA73,IF(AF74=1,AA74,"")))),"")</f>
        <v>0</v>
      </c>
      <c r="R71" s="3">
        <f>IF(AND(ISNUMBER(D71),ISNUMBER(D72),ISNUMBER(D73),ISNUMBER(D74),ISNUMBER(D75),ISNUMBER(D76)),IF(AF71=1,AB71,IF(AF72=1,AB72,IF(AF73=1,AB73,IF(AF74=1,AB74,"")))),"")</f>
        <v>9</v>
      </c>
      <c r="S71" s="3">
        <f>IF(AND(ISNUMBER(D71),ISNUMBER(D72),ISNUMBER(D73),ISNUMBER(D74),ISNUMBER(D75),ISNUMBER(D76)),IF(AF71=1,AC71,IF(AF72=1,AC72,IF(AF73=1,AC73,IF(AF74=1,AC74,"")))),"")</f>
        <v>2</v>
      </c>
      <c r="T71" s="3">
        <f>IF(AND(ISNUMBER(D71),ISNUMBER(D72),ISNUMBER(D73),ISNUMBER(D74),ISNUMBER(D75),ISNUMBER(D76)),IF(AF71=1,AD71,IF(AF72=1,AD72,IF(AF73=1,AD73,IF(AF74=1,AD74,"")))),"")</f>
        <v>7</v>
      </c>
      <c r="U71" s="3">
        <f>IF(AND(ISNUMBER(D71),ISNUMBER(D72),ISNUMBER(D73),ISNUMBER(D74),ISNUMBER(D75),ISNUMBER(D76)),IF(AF71=1,AE71,IF(AF72=1,AE72,IF(AF73=1,AE73,IF(AF74=1,AE74,"")))),"")</f>
        <v>9</v>
      </c>
      <c r="W71" t="s">
        <v>129</v>
      </c>
      <c r="X71">
        <f>((C71="Frankrike")*ISNUMBER(D71))+((G71="Frankrike")*ISNUMBER(D71))+((C72="Frankrike")*ISNUMBER(D72))+((G72="Frankrike")*ISNUMBER(D72))+((C73="Frankrike")*ISNUMBER(D73))+((G73="Frankrike")*ISNUMBER(D73))+((C74="Frankrike")*ISNUMBER(D74))+((G74="Frankrike")*ISNUMBER(D74))+((C75="Frankrike")*ISNUMBER(D75))+((G75="Frankrike")*ISNUMBER(D75))+((C76="Frankrike")*ISNUMBER(D76))+((G76="Frankrike")*ISNUMBER(D76))</f>
        <v>3</v>
      </c>
      <c r="Y71">
        <f>((C71="Frankrike")*ISNUMBER(D71)*(D71&gt;F71))+((G71="Frankrike")*ISNUMBER(D71)*(F71&gt;D71))+((C72="Frankrike")*ISNUMBER(D72)*(D72&gt;F72))+((G72="Frankrike")*ISNUMBER(D72)*(F72&gt;D72))+((C73="Frankrike")*ISNUMBER(D73)*(D73&gt;F73))+((G73="Frankrike")*ISNUMBER(D73)*(F73&gt;D73))+((C74="Frankrike")*ISNUMBER(D74)*(D74&gt;F74))+((G74="Frankrike")*ISNUMBER(D74)*(F74&gt;D74))+((C75="Frankrike")*ISNUMBER(D75)*(D75&gt;F75))+((G75="Frankrike")*ISNUMBER(D75)*(F75&gt;D75))+((C76="Frankrike")*ISNUMBER(D76)*(D76&gt;F76))+((G76="Frankrike")*ISNUMBER(D76)*(F76&gt;D76))</f>
        <v>3</v>
      </c>
      <c r="Z71">
        <f>((C71="Frankrike")*ISNUMBER(D71)*(D71=F71))+((G71="Frankrike")*ISNUMBER(D71)*(F71=D71))+((C72="Frankrike")*ISNUMBER(D72)*(D72=F72))+((G72="Frankrike")*ISNUMBER(D72)*(F72=D72))+((C73="Frankrike")*ISNUMBER(D73)*(D73=F73))+((G73="Frankrike")*ISNUMBER(D73)*(F73=D73))+((C74="Frankrike")*ISNUMBER(D74)*(D74=F74))+((G74="Frankrike")*ISNUMBER(D74)*(F74=D74))+((C75="Frankrike")*ISNUMBER(D75)*(D75=F75))+((G75="Frankrike")*ISNUMBER(D75)*(F75=D75))+((C76="Frankrike")*ISNUMBER(D76)*(D76=F76))+((G76="Frankrike")*ISNUMBER(D76)*(F76=D76))</f>
        <v>0</v>
      </c>
      <c r="AA71">
        <f>((C71="Frankrike")*ISNUMBER(D71)*(D71&lt;F71))+((G71="Frankrike")*ISNUMBER(D71)*(F71&lt;D71))+((C72="Frankrike")*ISNUMBER(D72)*(D72&lt;F72))+((G72="Frankrike")*ISNUMBER(D72)*(F72&lt;D72))+((C73="Frankrike")*ISNUMBER(D73)*(D73&lt;F73))+((G73="Frankrike")*ISNUMBER(D73)*(F73&lt;D73))+((C74="Frankrike")*ISNUMBER(D74)*(D74&lt;F74))+((G74="Frankrike")*ISNUMBER(D74)*(F74&lt;D74))+((C75="Frankrike")*ISNUMBER(D75)*(D75&lt;F75))+((G75="Frankrike")*ISNUMBER(D75)*(F75&lt;D75))+((C76="Frankrike")*ISNUMBER(D76)*(D76&lt;F76))+((G76="Frankrike")*ISNUMBER(D76)*(F76&lt;D76))</f>
        <v>0</v>
      </c>
      <c r="AB71">
        <f>IF((C71="Frankrike")*ISNUMBER(D71),D71,0)+IF((G71="Frankrike")*ISNUMBER(D71),F71,0)+IF((C72="Frankrike")*ISNUMBER(D72),D72,0)+IF((G72="Frankrike")*ISNUMBER(D72),F72,0)+IF((C73="Frankrike")*ISNUMBER(D73),D73,0)+IF((G73="Frankrike")*ISNUMBER(D73),F73,0)+IF((C74="Frankrike")*ISNUMBER(D74),D74,0)+IF((G74="Frankrike")*ISNUMBER(D74),F74,0)+IF((C75="Frankrike")*ISNUMBER(D75),D75,0)+IF((G75="Frankrike")*ISNUMBER(D75),F75,0)+IF((C76="Frankrike")*ISNUMBER(D76),D76,0)+IF((G76="Frankrike")*ISNUMBER(D76),F76,0)</f>
        <v>9</v>
      </c>
      <c r="AC71">
        <f>IF((C71="Frankrike")*ISNUMBER(D71),F71,0)+IF((G71="Frankrike")*ISNUMBER(D71),D71,0)+IF((C72="Frankrike")*ISNUMBER(D72),F72,0)+IF((G72="Frankrike")*ISNUMBER(D72),D72,0)+IF((C73="Frankrike")*ISNUMBER(D73),F73,0)+IF((G73="Frankrike")*ISNUMBER(D73),D73,0)+IF((C74="Frankrike")*ISNUMBER(D74),F74,0)+IF((G74="Frankrike")*ISNUMBER(D74),D74,0)+IF((C75="Frankrike")*ISNUMBER(D75),F75,0)+IF((G75="Frankrike")*ISNUMBER(D75),D75,0)+IF((C76="Frankrike")*ISNUMBER(D76),F76,0)+IF((G76="Frankrike")*ISNUMBER(D76),D76,0)</f>
        <v>2</v>
      </c>
      <c r="AD71">
        <f>AB71-AC71</f>
        <v>7</v>
      </c>
      <c r="AE71">
        <f>3*Y71+Z71</f>
        <v>9</v>
      </c>
      <c r="AF71">
        <f>1+((AE72&gt;AE71)+(AE72=AE71)*(AD72&gt;AD71)+(AE72=AE71)*(AD72=AD71)*(AB72&gt;AB71)&gt;0)*1+((AE73&gt;AE71)+(AE73=AE71)*(AD73&gt;AD71)+(AE73=AE71)*(AD73=AD71)*(AB73&gt;AB71)&gt;0)*1+((AE74&gt;AE71)+(AE74=AE71)*(AD74&gt;AD71)+(AE74=AE71)*(AD74=AD71)*(AB74&gt;AB71)&gt;0)*1</f>
        <v>1</v>
      </c>
    </row>
    <row r="72" spans="1:32" ht="16.5" customHeight="1" x14ac:dyDescent="0.3">
      <c r="A72" s="10">
        <v>50</v>
      </c>
      <c r="B72" s="10" t="s">
        <v>128</v>
      </c>
      <c r="C72" s="11" t="s">
        <v>131</v>
      </c>
      <c r="D72" s="5">
        <v>0</v>
      </c>
      <c r="E72" s="10" t="s">
        <v>29</v>
      </c>
      <c r="F72" s="5">
        <v>3</v>
      </c>
      <c r="G72" s="11" t="s">
        <v>132</v>
      </c>
      <c r="H72" s="10" t="s">
        <v>133</v>
      </c>
      <c r="I72" s="10" t="s">
        <v>59</v>
      </c>
      <c r="J72" s="11" t="s">
        <v>72</v>
      </c>
      <c r="K72" s="6" t="s">
        <v>34</v>
      </c>
      <c r="M72" s="4" t="str">
        <f>IF(AND(ISNUMBER(D71),ISNUMBER(D72),ISNUMBER(D73),ISNUMBER(D74),ISNUMBER(D75),ISNUMBER(D76)),IF(AF71=2,W71,IF(AF72=2,W72,IF(AF73=2,W73,IF(AF74=2,W74,"")))),"")</f>
        <v>Norge</v>
      </c>
      <c r="N72" s="3">
        <f>IF(AND(ISNUMBER(D71),ISNUMBER(D72),ISNUMBER(D73),ISNUMBER(D74),ISNUMBER(D75),ISNUMBER(D76)),IF(AF71=2,X71,IF(AF72=2,X72,IF(AF73=2,X73,IF(AF74=2,X74,"")))),"")</f>
        <v>3</v>
      </c>
      <c r="O72" s="3">
        <f>IF(AND(ISNUMBER(D71),ISNUMBER(D72),ISNUMBER(D73),ISNUMBER(D74),ISNUMBER(D75),ISNUMBER(D76)),IF(AF71=2,Y71,IF(AF72=2,Y72,IF(AF73=2,Y73,IF(AF74=2,Y74,"")))),"")</f>
        <v>1</v>
      </c>
      <c r="P72" s="3">
        <f>IF(AND(ISNUMBER(D71),ISNUMBER(D72),ISNUMBER(D73),ISNUMBER(D74),ISNUMBER(D75),ISNUMBER(D76)),IF(AF71=2,Z71,IF(AF72=2,Z72,IF(AF73=2,Z73,IF(AF74=2,Z74,"")))),"")</f>
        <v>1</v>
      </c>
      <c r="Q72" s="3">
        <f>IF(AND(ISNUMBER(D71),ISNUMBER(D72),ISNUMBER(D73),ISNUMBER(D74),ISNUMBER(D75),ISNUMBER(D76)),IF(AF71=2,AA71,IF(AF72=2,AA72,IF(AF73=2,AA73,IF(AF74=2,AA74,"")))),"")</f>
        <v>1</v>
      </c>
      <c r="R72" s="3">
        <f>IF(AND(ISNUMBER(D71),ISNUMBER(D72),ISNUMBER(D73),ISNUMBER(D74),ISNUMBER(D75),ISNUMBER(D76)),IF(AF71=2,AB71,IF(AF72=2,AB72,IF(AF73=2,AB73,IF(AF74=2,AB74,"")))),"")</f>
        <v>5</v>
      </c>
      <c r="S72" s="3">
        <f>IF(AND(ISNUMBER(D71),ISNUMBER(D72),ISNUMBER(D73),ISNUMBER(D74),ISNUMBER(D75),ISNUMBER(D76)),IF(AF71=2,AC71,IF(AF72=2,AC72,IF(AF73=2,AC73,IF(AF74=2,AC74,"")))),"")</f>
        <v>4</v>
      </c>
      <c r="T72" s="3">
        <f>IF(AND(ISNUMBER(D71),ISNUMBER(D72),ISNUMBER(D73),ISNUMBER(D74),ISNUMBER(D75),ISNUMBER(D76)),IF(AF71=2,AD71,IF(AF72=2,AD72,IF(AF73=2,AD73,IF(AF74=2,AD74,"")))),"")</f>
        <v>1</v>
      </c>
      <c r="U72" s="3">
        <f>IF(AND(ISNUMBER(D71),ISNUMBER(D72),ISNUMBER(D73),ISNUMBER(D74),ISNUMBER(D75),ISNUMBER(D76)),IF(AF71=2,AE71,IF(AF72=2,AE72,IF(AF73=2,AE73,IF(AF74=2,AE74,"")))),"")</f>
        <v>4</v>
      </c>
      <c r="W72" t="s">
        <v>130</v>
      </c>
      <c r="X72">
        <f>((C71="Senegal")*ISNUMBER(D71))+((G71="Senegal")*ISNUMBER(D71))+((C72="Senegal")*ISNUMBER(D72))+((G72="Senegal")*ISNUMBER(D72))+((C73="Senegal")*ISNUMBER(D73))+((G73="Senegal")*ISNUMBER(D73))+((C74="Senegal")*ISNUMBER(D74))+((G74="Senegal")*ISNUMBER(D74))+((C75="Senegal")*ISNUMBER(D75))+((G75="Senegal")*ISNUMBER(D75))+((C76="Senegal")*ISNUMBER(D76))+((G76="Senegal")*ISNUMBER(D76))</f>
        <v>3</v>
      </c>
      <c r="Y72">
        <f>((C71="Senegal")*ISNUMBER(D71)*(D71&gt;F71))+((G71="Senegal")*ISNUMBER(D71)*(F71&gt;D71))+((C72="Senegal")*ISNUMBER(D72)*(D72&gt;F72))+((G72="Senegal")*ISNUMBER(D72)*(F72&gt;D72))+((C73="Senegal")*ISNUMBER(D73)*(D73&gt;F73))+((G73="Senegal")*ISNUMBER(D73)*(F73&gt;D73))+((C74="Senegal")*ISNUMBER(D74)*(D74&gt;F74))+((G74="Senegal")*ISNUMBER(D74)*(F74&gt;D74))+((C75="Senegal")*ISNUMBER(D75)*(D75&gt;F75))+((G75="Senegal")*ISNUMBER(D75)*(F75&gt;D75))+((C76="Senegal")*ISNUMBER(D76)*(D76&gt;F76))+((G76="Senegal")*ISNUMBER(D76)*(F76&gt;D76))</f>
        <v>1</v>
      </c>
      <c r="Z72">
        <f>((C71="Senegal")*ISNUMBER(D71)*(D71=F71))+((G71="Senegal")*ISNUMBER(D71)*(F71=D71))+((C72="Senegal")*ISNUMBER(D72)*(D72=F72))+((G72="Senegal")*ISNUMBER(D72)*(F72=D72))+((C73="Senegal")*ISNUMBER(D73)*(D73=F73))+((G73="Senegal")*ISNUMBER(D73)*(F73=D73))+((C74="Senegal")*ISNUMBER(D74)*(D74=F74))+((G74="Senegal")*ISNUMBER(D74)*(F74=D74))+((C75="Senegal")*ISNUMBER(D75)*(D75=F75))+((G75="Senegal")*ISNUMBER(D75)*(F75=D75))+((C76="Senegal")*ISNUMBER(D76)*(D76=F76))+((G76="Senegal")*ISNUMBER(D76)*(F76=D76))</f>
        <v>1</v>
      </c>
      <c r="AA72">
        <f>((C71="Senegal")*ISNUMBER(D71)*(D71&lt;F71))+((G71="Senegal")*ISNUMBER(D71)*(F71&lt;D71))+((C72="Senegal")*ISNUMBER(D72)*(D72&lt;F72))+((G72="Senegal")*ISNUMBER(D72)*(F72&lt;D72))+((C73="Senegal")*ISNUMBER(D73)*(D73&lt;F73))+((G73="Senegal")*ISNUMBER(D73)*(F73&lt;D73))+((C74="Senegal")*ISNUMBER(D74)*(D74&lt;F74))+((G74="Senegal")*ISNUMBER(D74)*(F74&lt;D74))+((C75="Senegal")*ISNUMBER(D75)*(D75&lt;F75))+((G75="Senegal")*ISNUMBER(D75)*(F75&lt;D75))+((C76="Senegal")*ISNUMBER(D76)*(D76&lt;F76))+((G76="Senegal")*ISNUMBER(D76)*(F76&lt;D76))</f>
        <v>1</v>
      </c>
      <c r="AB72">
        <f>IF((C71="Senegal")*ISNUMBER(D71),D71,0)+IF((G71="Senegal")*ISNUMBER(D71),F71,0)+IF((C72="Senegal")*ISNUMBER(D72),D72,0)+IF((G72="Senegal")*ISNUMBER(D72),F72,0)+IF((C73="Senegal")*ISNUMBER(D73),D73,0)+IF((G73="Senegal")*ISNUMBER(D73),F73,0)+IF((C74="Senegal")*ISNUMBER(D74),D74,0)+IF((G74="Senegal")*ISNUMBER(D74),F74,0)+IF((C75="Senegal")*ISNUMBER(D75),D75,0)+IF((G75="Senegal")*ISNUMBER(D75),F75,0)+IF((C76="Senegal")*ISNUMBER(D76),D76,0)+IF((G76="Senegal")*ISNUMBER(D76),F76,0)</f>
        <v>4</v>
      </c>
      <c r="AC72">
        <f>IF((C71="Senegal")*ISNUMBER(D71),F71,0)+IF((G71="Senegal")*ISNUMBER(D71),D71,0)+IF((C72="Senegal")*ISNUMBER(D72),F72,0)+IF((G72="Senegal")*ISNUMBER(D72),D72,0)+IF((C73="Senegal")*ISNUMBER(D73),F73,0)+IF((G73="Senegal")*ISNUMBER(D73),D73,0)+IF((C74="Senegal")*ISNUMBER(D74),F74,0)+IF((G74="Senegal")*ISNUMBER(D74),D74,0)+IF((C75="Senegal")*ISNUMBER(D75),F75,0)+IF((G75="Senegal")*ISNUMBER(D75),D75,0)+IF((C76="Senegal")*ISNUMBER(D76),F76,0)+IF((G76="Senegal")*ISNUMBER(D76),D76,0)</f>
        <v>3</v>
      </c>
      <c r="AD72">
        <f>AB72-AC72</f>
        <v>1</v>
      </c>
      <c r="AE72">
        <f>3*Y72+Z72</f>
        <v>4</v>
      </c>
      <c r="AF72">
        <f>1+((AE71&gt;AE72)+(AE71=AE72)*(AD71&gt;AD72)+(AE71=AE72)*(AD71=AD72)*(AB71&gt;AB72)&gt;0)*1+((AE73&gt;AE72)+(AE73=AE72)*(AD73&gt;AD72)+(AE73=AE72)*(AD73=AD72)*(AB73&gt;AB72)&gt;0)*1+((AE74&gt;AE72)+(AE74=AE72)*(AD74&gt;AD72)+(AE74=AE72)*(AD74=AD72)*(AB74&gt;AB72)&gt;0)*1</f>
        <v>3</v>
      </c>
    </row>
    <row r="73" spans="1:32" ht="16.5" customHeight="1" x14ac:dyDescent="0.3">
      <c r="A73" s="3">
        <v>51</v>
      </c>
      <c r="B73" s="3" t="s">
        <v>128</v>
      </c>
      <c r="C73" s="4" t="s">
        <v>129</v>
      </c>
      <c r="D73" s="5">
        <v>4</v>
      </c>
      <c r="E73" s="3" t="s">
        <v>29</v>
      </c>
      <c r="F73" s="5">
        <v>0</v>
      </c>
      <c r="G73" s="4" t="s">
        <v>131</v>
      </c>
      <c r="H73" s="3" t="s">
        <v>116</v>
      </c>
      <c r="I73" s="3" t="s">
        <v>134</v>
      </c>
      <c r="J73" s="4" t="s">
        <v>74</v>
      </c>
      <c r="K73" s="9" t="s">
        <v>40</v>
      </c>
      <c r="M73" s="4" t="str">
        <f>IF(AND(ISNUMBER(D71),ISNUMBER(D72),ISNUMBER(D73),ISNUMBER(D74),ISNUMBER(D75),ISNUMBER(D76)),IF(AF71=3,W71,IF(AF72=3,W72,IF(AF73=3,W73,IF(AF74=3,W74,"")))),"")</f>
        <v>Senegal</v>
      </c>
      <c r="N73" s="3">
        <f>IF(AND(ISNUMBER(D71),ISNUMBER(D72),ISNUMBER(D73),ISNUMBER(D74),ISNUMBER(D75),ISNUMBER(D76)),IF(AF71=3,X71,IF(AF72=3,X72,IF(AF73=3,X73,IF(AF74=3,X74,"")))),"")</f>
        <v>3</v>
      </c>
      <c r="O73" s="3">
        <f>IF(AND(ISNUMBER(D71),ISNUMBER(D72),ISNUMBER(D73),ISNUMBER(D74),ISNUMBER(D75),ISNUMBER(D76)),IF(AF71=3,Y71,IF(AF72=3,Y72,IF(AF73=3,Y73,IF(AF74=3,Y74,"")))),"")</f>
        <v>1</v>
      </c>
      <c r="P73" s="3">
        <f>IF(AND(ISNUMBER(D71),ISNUMBER(D72),ISNUMBER(D73),ISNUMBER(D74),ISNUMBER(D75),ISNUMBER(D76)),IF(AF71=3,Z71,IF(AF72=3,Z72,IF(AF73=3,Z73,IF(AF74=3,Z74,"")))),"")</f>
        <v>1</v>
      </c>
      <c r="Q73" s="3">
        <f>IF(AND(ISNUMBER(D71),ISNUMBER(D72),ISNUMBER(D73),ISNUMBER(D74),ISNUMBER(D75),ISNUMBER(D76)),IF(AF71=3,AA71,IF(AF72=3,AA72,IF(AF73=3,AA73,IF(AF74=3,AA74,"")))),"")</f>
        <v>1</v>
      </c>
      <c r="R73" s="3">
        <f>IF(AND(ISNUMBER(D71),ISNUMBER(D72),ISNUMBER(D73),ISNUMBER(D74),ISNUMBER(D75),ISNUMBER(D76)),IF(AF71=3,AB71,IF(AF72=3,AB72,IF(AF73=3,AB73,IF(AF74=3,AB74,"")))),"")</f>
        <v>4</v>
      </c>
      <c r="S73" s="3">
        <f>IF(AND(ISNUMBER(D71),ISNUMBER(D72),ISNUMBER(D73),ISNUMBER(D74),ISNUMBER(D75),ISNUMBER(D76)),IF(AF71=3,AC71,IF(AF72=3,AC72,IF(AF73=3,AC73,IF(AF74=3,AC74,"")))),"")</f>
        <v>3</v>
      </c>
      <c r="T73" s="3">
        <f>IF(AND(ISNUMBER(D71),ISNUMBER(D72),ISNUMBER(D73),ISNUMBER(D74),ISNUMBER(D75),ISNUMBER(D76)),IF(AF71=3,AD71,IF(AF72=3,AD72,IF(AF73=3,AD73,IF(AF74=3,AD74,"")))),"")</f>
        <v>1</v>
      </c>
      <c r="U73" s="3">
        <f>IF(AND(ISNUMBER(D71),ISNUMBER(D72),ISNUMBER(D73),ISNUMBER(D74),ISNUMBER(D75),ISNUMBER(D76)),IF(AF71=3,AE71,IF(AF72=3,AE72,IF(AF73=3,AE73,IF(AF74=3,AE74,"")))),"")</f>
        <v>4</v>
      </c>
      <c r="W73" t="s">
        <v>131</v>
      </c>
      <c r="X73">
        <f>((C71="Irak")*ISNUMBER(D71))+((G71="Irak")*ISNUMBER(D71))+((C72="Irak")*ISNUMBER(D72))+((G72="Irak")*ISNUMBER(D72))+((C73="Irak")*ISNUMBER(D73))+((G73="Irak")*ISNUMBER(D73))+((C74="Irak")*ISNUMBER(D74))+((G74="Irak")*ISNUMBER(D74))+((C75="Irak")*ISNUMBER(D75))+((G75="Irak")*ISNUMBER(D75))+((C76="Irak")*ISNUMBER(D76))+((G76="Irak")*ISNUMBER(D76))</f>
        <v>3</v>
      </c>
      <c r="Y73">
        <f>((C71="Irak")*ISNUMBER(D71)*(D71&gt;F71))+((G71="Irak")*ISNUMBER(D71)*(F71&gt;D71))+((C72="Irak")*ISNUMBER(D72)*(D72&gt;F72))+((G72="Irak")*ISNUMBER(D72)*(F72&gt;D72))+((C73="Irak")*ISNUMBER(D73)*(D73&gt;F73))+((G73="Irak")*ISNUMBER(D73)*(F73&gt;D73))+((C74="Irak")*ISNUMBER(D74)*(D74&gt;F74))+((G74="Irak")*ISNUMBER(D74)*(F74&gt;D74))+((C75="Irak")*ISNUMBER(D75)*(D75&gt;F75))+((G75="Irak")*ISNUMBER(D75)*(F75&gt;D75))+((C76="Irak")*ISNUMBER(D76)*(D76&gt;F76))+((G76="Irak")*ISNUMBER(D76)*(F76&gt;D76))</f>
        <v>0</v>
      </c>
      <c r="Z73">
        <f>((C71="Irak")*ISNUMBER(D71)*(D71=F71))+((G71="Irak")*ISNUMBER(D71)*(F71=D71))+((C72="Irak")*ISNUMBER(D72)*(D72=F72))+((G72="Irak")*ISNUMBER(D72)*(F72=D72))+((C73="Irak")*ISNUMBER(D73)*(D73=F73))+((G73="Irak")*ISNUMBER(D73)*(F73=D73))+((C74="Irak")*ISNUMBER(D74)*(D74=F74))+((G74="Irak")*ISNUMBER(D74)*(F74=D74))+((C75="Irak")*ISNUMBER(D75)*(D75=F75))+((G75="Irak")*ISNUMBER(D75)*(F75=D75))+((C76="Irak")*ISNUMBER(D76)*(D76=F76))+((G76="Irak")*ISNUMBER(D76)*(F76=D76))</f>
        <v>0</v>
      </c>
      <c r="AA73">
        <f>((C71="Irak")*ISNUMBER(D71)*(D71&lt;F71))+((G71="Irak")*ISNUMBER(D71)*(F71&lt;D71))+((C72="Irak")*ISNUMBER(D72)*(D72&lt;F72))+((G72="Irak")*ISNUMBER(D72)*(F72&lt;D72))+((C73="Irak")*ISNUMBER(D73)*(D73&lt;F73))+((G73="Irak")*ISNUMBER(D73)*(F73&lt;D73))+((C74="Irak")*ISNUMBER(D74)*(D74&lt;F74))+((G74="Irak")*ISNUMBER(D74)*(F74&lt;D74))+((C75="Irak")*ISNUMBER(D75)*(D75&lt;F75))+((G75="Irak")*ISNUMBER(D75)*(F75&lt;D75))+((C76="Irak")*ISNUMBER(D76)*(D76&lt;F76))+((G76="Irak")*ISNUMBER(D76)*(F76&lt;D76))</f>
        <v>3</v>
      </c>
      <c r="AB73">
        <f>IF((C71="Irak")*ISNUMBER(D71),D71,0)+IF((G71="Irak")*ISNUMBER(D71),F71,0)+IF((C72="Irak")*ISNUMBER(D72),D72,0)+IF((G72="Irak")*ISNUMBER(D72),F72,0)+IF((C73="Irak")*ISNUMBER(D73),D73,0)+IF((G73="Irak")*ISNUMBER(D73),F73,0)+IF((C74="Irak")*ISNUMBER(D74),D74,0)+IF((G74="Irak")*ISNUMBER(D74),F74,0)+IF((C75="Irak")*ISNUMBER(D75),D75,0)+IF((G75="Irak")*ISNUMBER(D75),F75,0)+IF((C76="Irak")*ISNUMBER(D76),D76,0)+IF((G76="Irak")*ISNUMBER(D76),F76,0)</f>
        <v>0</v>
      </c>
      <c r="AC73">
        <f>IF((C71="Irak")*ISNUMBER(D71),F71,0)+IF((G71="Irak")*ISNUMBER(D71),D71,0)+IF((C72="Irak")*ISNUMBER(D72),F72,0)+IF((G72="Irak")*ISNUMBER(D72),D72,0)+IF((C73="Irak")*ISNUMBER(D73),F73,0)+IF((G73="Irak")*ISNUMBER(D73),D73,0)+IF((C74="Irak")*ISNUMBER(D74),F74,0)+IF((G74="Irak")*ISNUMBER(D74),D74,0)+IF((C75="Irak")*ISNUMBER(D75),F75,0)+IF((G75="Irak")*ISNUMBER(D75),D75,0)+IF((C76="Irak")*ISNUMBER(D76),F76,0)+IF((G76="Irak")*ISNUMBER(D76),D76,0)</f>
        <v>9</v>
      </c>
      <c r="AD73">
        <f>AB73-AC73</f>
        <v>-9</v>
      </c>
      <c r="AE73">
        <f>3*Y73+Z73</f>
        <v>0</v>
      </c>
      <c r="AF73">
        <f>1+((AE71&gt;AE73)+(AE71=AE73)*(AD71&gt;AD73)+(AE71=AE73)*(AD71=AD73)*(AB71&gt;AB73)&gt;0)*1+((AE72&gt;AE73)+(AE72=AE73)*(AD72&gt;AD73)+(AE72=AE73)*(AD72=AD73)*(AB72&gt;AB73)&gt;0)*1+((AE74&gt;AE73)+(AE74=AE73)*(AD74&gt;AD73)+(AE74=AE73)*(AD74=AD73)*(AB74&gt;AB73)&gt;0)*1</f>
        <v>4</v>
      </c>
    </row>
    <row r="74" spans="1:32" ht="16.5" customHeight="1" x14ac:dyDescent="0.3">
      <c r="A74" s="10">
        <v>52</v>
      </c>
      <c r="B74" s="10" t="s">
        <v>128</v>
      </c>
      <c r="C74" s="11" t="s">
        <v>132</v>
      </c>
      <c r="D74" s="5">
        <v>1</v>
      </c>
      <c r="E74" s="10" t="s">
        <v>29</v>
      </c>
      <c r="F74" s="5">
        <v>1</v>
      </c>
      <c r="G74" s="11" t="s">
        <v>130</v>
      </c>
      <c r="H74" s="10" t="s">
        <v>135</v>
      </c>
      <c r="I74" s="10" t="s">
        <v>98</v>
      </c>
      <c r="J74" s="11" t="s">
        <v>69</v>
      </c>
      <c r="K74" s="9" t="s">
        <v>40</v>
      </c>
      <c r="M74" s="4" t="str">
        <f>IF(AND(ISNUMBER(D71),ISNUMBER(D72),ISNUMBER(D73),ISNUMBER(D74),ISNUMBER(D75),ISNUMBER(D76)),IF(AF71=4,W71,IF(AF72=4,W72,IF(AF73=4,W73,IF(AF74=4,W74,"")))),"")</f>
        <v>Irak</v>
      </c>
      <c r="N74" s="3">
        <f>IF(AND(ISNUMBER(D71),ISNUMBER(D72),ISNUMBER(D73),ISNUMBER(D74),ISNUMBER(D75),ISNUMBER(D76)),IF(AF71=4,X71,IF(AF72=4,X72,IF(AF73=4,X73,IF(AF74=4,X74,"")))),"")</f>
        <v>3</v>
      </c>
      <c r="O74" s="3">
        <f>IF(AND(ISNUMBER(D71),ISNUMBER(D72),ISNUMBER(D73),ISNUMBER(D74),ISNUMBER(D75),ISNUMBER(D76)),IF(AF71=4,Y71,IF(AF72=4,Y72,IF(AF73=4,Y73,IF(AF74=4,Y74,"")))),"")</f>
        <v>0</v>
      </c>
      <c r="P74" s="3">
        <f>IF(AND(ISNUMBER(D71),ISNUMBER(D72),ISNUMBER(D73),ISNUMBER(D74),ISNUMBER(D75),ISNUMBER(D76)),IF(AF71=4,Z71,IF(AF72=4,Z72,IF(AF73=4,Z73,IF(AF74=4,Z74,"")))),"")</f>
        <v>0</v>
      </c>
      <c r="Q74" s="3">
        <f>IF(AND(ISNUMBER(D71),ISNUMBER(D72),ISNUMBER(D73),ISNUMBER(D74),ISNUMBER(D75),ISNUMBER(D76)),IF(AF71=4,AA71,IF(AF72=4,AA72,IF(AF73=4,AA73,IF(AF74=4,AA74,"")))),"")</f>
        <v>3</v>
      </c>
      <c r="R74" s="3">
        <f>IF(AND(ISNUMBER(D71),ISNUMBER(D72),ISNUMBER(D73),ISNUMBER(D74),ISNUMBER(D75),ISNUMBER(D76)),IF(AF71=4,AB71,IF(AF72=4,AB72,IF(AF73=4,AB73,IF(AF74=4,AB74,"")))),"")</f>
        <v>0</v>
      </c>
      <c r="S74" s="3">
        <f>IF(AND(ISNUMBER(D71),ISNUMBER(D72),ISNUMBER(D73),ISNUMBER(D74),ISNUMBER(D75),ISNUMBER(D76)),IF(AF71=4,AC71,IF(AF72=4,AC72,IF(AF73=4,AC73,IF(AF74=4,AC74,"")))),"")</f>
        <v>9</v>
      </c>
      <c r="T74" s="3">
        <f>IF(AND(ISNUMBER(D71),ISNUMBER(D72),ISNUMBER(D73),ISNUMBER(D74),ISNUMBER(D75),ISNUMBER(D76)),IF(AF71=4,AD71,IF(AF72=4,AD72,IF(AF73=4,AD73,IF(AF74=4,AD74,"")))),"")</f>
        <v>-9</v>
      </c>
      <c r="U74" s="3">
        <f>IF(AND(ISNUMBER(D71),ISNUMBER(D72),ISNUMBER(D73),ISNUMBER(D74),ISNUMBER(D75),ISNUMBER(D76)),IF(AF71=4,AE71,IF(AF72=4,AE72,IF(AF73=4,AE73,IF(AF74=4,AE74,"")))),"")</f>
        <v>0</v>
      </c>
      <c r="W74" t="s">
        <v>132</v>
      </c>
      <c r="X74">
        <f>((C71="Norge")*ISNUMBER(D71))+((G71="Norge")*ISNUMBER(D71))+((C72="Norge")*ISNUMBER(D72))+((G72="Norge")*ISNUMBER(D72))+((C73="Norge")*ISNUMBER(D73))+((G73="Norge")*ISNUMBER(D73))+((C74="Norge")*ISNUMBER(D74))+((G74="Norge")*ISNUMBER(D74))+((C75="Norge")*ISNUMBER(D75))+((G75="Norge")*ISNUMBER(D75))+((C76="Norge")*ISNUMBER(D76))+((G76="Norge")*ISNUMBER(D76))</f>
        <v>3</v>
      </c>
      <c r="Y74">
        <f>((C71="Norge")*ISNUMBER(D71)*(D71&gt;F71))+((G71="Norge")*ISNUMBER(D71)*(F71&gt;D71))+((C72="Norge")*ISNUMBER(D72)*(D72&gt;F72))+((G72="Norge")*ISNUMBER(D72)*(F72&gt;D72))+((C73="Norge")*ISNUMBER(D73)*(D73&gt;F73))+((G73="Norge")*ISNUMBER(D73)*(F73&gt;D73))+((C74="Norge")*ISNUMBER(D74)*(D74&gt;F74))+((G74="Norge")*ISNUMBER(D74)*(F74&gt;D74))+((C75="Norge")*ISNUMBER(D75)*(D75&gt;F75))+((G75="Norge")*ISNUMBER(D75)*(F75&gt;D75))+((C76="Norge")*ISNUMBER(D76)*(D76&gt;F76))+((G76="Norge")*ISNUMBER(D76)*(F76&gt;D76))</f>
        <v>1</v>
      </c>
      <c r="Z74">
        <f>((C71="Norge")*ISNUMBER(D71)*(D71=F71))+((G71="Norge")*ISNUMBER(D71)*(F71=D71))+((C72="Norge")*ISNUMBER(D72)*(D72=F72))+((G72="Norge")*ISNUMBER(D72)*(F72=D72))+((C73="Norge")*ISNUMBER(D73)*(D73=F73))+((G73="Norge")*ISNUMBER(D73)*(F73=D73))+((C74="Norge")*ISNUMBER(D74)*(D74=F74))+((G74="Norge")*ISNUMBER(D74)*(F74=D74))+((C75="Norge")*ISNUMBER(D75)*(D75=F75))+((G75="Norge")*ISNUMBER(D75)*(F75=D75))+((C76="Norge")*ISNUMBER(D76)*(D76=F76))+((G76="Norge")*ISNUMBER(D76)*(F76=D76))</f>
        <v>1</v>
      </c>
      <c r="AA74">
        <f>((C71="Norge")*ISNUMBER(D71)*(D71&lt;F71))+((G71="Norge")*ISNUMBER(D71)*(F71&lt;D71))+((C72="Norge")*ISNUMBER(D72)*(D72&lt;F72))+((G72="Norge")*ISNUMBER(D72)*(F72&lt;D72))+((C73="Norge")*ISNUMBER(D73)*(D73&lt;F73))+((G73="Norge")*ISNUMBER(D73)*(F73&lt;D73))+((C74="Norge")*ISNUMBER(D74)*(D74&lt;F74))+((G74="Norge")*ISNUMBER(D74)*(F74&lt;D74))+((C75="Norge")*ISNUMBER(D75)*(D75&lt;F75))+((G75="Norge")*ISNUMBER(D75)*(F75&lt;D75))+((C76="Norge")*ISNUMBER(D76)*(D76&lt;F76))+((G76="Norge")*ISNUMBER(D76)*(F76&lt;D76))</f>
        <v>1</v>
      </c>
      <c r="AB74">
        <f>IF((C71="Norge")*ISNUMBER(D71),D71,0)+IF((G71="Norge")*ISNUMBER(D71),F71,0)+IF((C72="Norge")*ISNUMBER(D72),D72,0)+IF((G72="Norge")*ISNUMBER(D72),F72,0)+IF((C73="Norge")*ISNUMBER(D73),D73,0)+IF((G73="Norge")*ISNUMBER(D73),F73,0)+IF((C74="Norge")*ISNUMBER(D74),D74,0)+IF((G74="Norge")*ISNUMBER(D74),F74,0)+IF((C75="Norge")*ISNUMBER(D75),D75,0)+IF((G75="Norge")*ISNUMBER(D75),F75,0)+IF((C76="Norge")*ISNUMBER(D76),D76,0)+IF((G76="Norge")*ISNUMBER(D76),F76,0)</f>
        <v>5</v>
      </c>
      <c r="AC74">
        <f>IF((C71="Norge")*ISNUMBER(D71),F71,0)+IF((G71="Norge")*ISNUMBER(D71),D71,0)+IF((C72="Norge")*ISNUMBER(D72),F72,0)+IF((G72="Norge")*ISNUMBER(D72),D72,0)+IF((C73="Norge")*ISNUMBER(D73),F73,0)+IF((G73="Norge")*ISNUMBER(D73),D73,0)+IF((C74="Norge")*ISNUMBER(D74),F74,0)+IF((G74="Norge")*ISNUMBER(D74),D74,0)+IF((C75="Norge")*ISNUMBER(D75),F75,0)+IF((G75="Norge")*ISNUMBER(D75),D75,0)+IF((C76="Norge")*ISNUMBER(D76),F76,0)+IF((G76="Norge")*ISNUMBER(D76),D76,0)</f>
        <v>4</v>
      </c>
      <c r="AD74">
        <f>AB74-AC74</f>
        <v>1</v>
      </c>
      <c r="AE74">
        <f>3*Y74+Z74</f>
        <v>4</v>
      </c>
      <c r="AF74">
        <f>1+((AE71&gt;AE74)+(AE71=AE74)*(AD71&gt;AD74)+(AE71=AE74)*(AD71=AD74)*(AB71&gt;AB74)&gt;0)*1+((AE72&gt;AE74)+(AE72=AE74)*(AD72&gt;AD74)+(AE72=AE74)*(AD72=AD74)*(AB72&gt;AB74)&gt;0)*1+((AE73&gt;AE74)+(AE73=AE74)*(AD73&gt;AD74)+(AE73=AE74)*(AD73=AD74)*(AB73&gt;AB74)&gt;0)*1</f>
        <v>2</v>
      </c>
    </row>
    <row r="75" spans="1:32" ht="16.5" customHeight="1" x14ac:dyDescent="0.3">
      <c r="A75" s="10">
        <v>53</v>
      </c>
      <c r="B75" s="10" t="s">
        <v>128</v>
      </c>
      <c r="C75" s="11" t="s">
        <v>132</v>
      </c>
      <c r="D75" s="5">
        <v>1</v>
      </c>
      <c r="E75" s="10" t="s">
        <v>29</v>
      </c>
      <c r="F75" s="5">
        <v>3</v>
      </c>
      <c r="G75" s="11" t="s">
        <v>129</v>
      </c>
      <c r="H75" s="10" t="s">
        <v>84</v>
      </c>
      <c r="I75" s="10" t="s">
        <v>32</v>
      </c>
      <c r="J75" s="11" t="s">
        <v>72</v>
      </c>
      <c r="K75" s="9" t="s">
        <v>40</v>
      </c>
    </row>
    <row r="76" spans="1:32" ht="16.5" customHeight="1" x14ac:dyDescent="0.3">
      <c r="A76" s="7">
        <v>54</v>
      </c>
      <c r="B76" s="7" t="s">
        <v>128</v>
      </c>
      <c r="C76" s="8" t="s">
        <v>130</v>
      </c>
      <c r="D76" s="5">
        <v>2</v>
      </c>
      <c r="E76" s="7" t="s">
        <v>29</v>
      </c>
      <c r="F76" s="5">
        <v>0</v>
      </c>
      <c r="G76" s="8" t="s">
        <v>131</v>
      </c>
      <c r="H76" s="7" t="s">
        <v>84</v>
      </c>
      <c r="I76" s="7" t="s">
        <v>32</v>
      </c>
      <c r="J76" s="8" t="s">
        <v>53</v>
      </c>
      <c r="K76" s="9" t="s">
        <v>40</v>
      </c>
    </row>
    <row r="77" spans="1:32" ht="18.75" customHeight="1" x14ac:dyDescent="0.3">
      <c r="A77" s="56" t="s">
        <v>136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M77" s="57" t="s">
        <v>137</v>
      </c>
      <c r="N77" s="57"/>
      <c r="O77" s="57"/>
      <c r="P77" s="57"/>
      <c r="Q77" s="57"/>
      <c r="R77" s="57"/>
      <c r="S77" s="57"/>
      <c r="T77" s="57"/>
      <c r="U77" s="57"/>
    </row>
    <row r="78" spans="1:32" ht="15.75" customHeight="1" x14ac:dyDescent="0.3">
      <c r="A78" s="1" t="s">
        <v>8</v>
      </c>
      <c r="B78" s="1" t="s">
        <v>9</v>
      </c>
      <c r="C78" s="1" t="s">
        <v>10</v>
      </c>
      <c r="D78" s="1" t="s">
        <v>11</v>
      </c>
      <c r="E78" s="1"/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17</v>
      </c>
      <c r="M78" s="2" t="s">
        <v>18</v>
      </c>
      <c r="N78" s="2" t="s">
        <v>19</v>
      </c>
      <c r="O78" s="2" t="s">
        <v>20</v>
      </c>
      <c r="P78" s="2" t="s">
        <v>21</v>
      </c>
      <c r="Q78" s="2" t="s">
        <v>22</v>
      </c>
      <c r="R78" s="2" t="s">
        <v>23</v>
      </c>
      <c r="S78" s="2" t="s">
        <v>24</v>
      </c>
      <c r="T78" s="2" t="s">
        <v>25</v>
      </c>
      <c r="U78" s="2" t="s">
        <v>26</v>
      </c>
    </row>
    <row r="79" spans="1:32" ht="16.5" customHeight="1" x14ac:dyDescent="0.3">
      <c r="A79" s="3">
        <v>55</v>
      </c>
      <c r="B79" s="3" t="s">
        <v>138</v>
      </c>
      <c r="C79" s="4" t="s">
        <v>139</v>
      </c>
      <c r="D79" s="5">
        <v>3</v>
      </c>
      <c r="E79" s="3" t="s">
        <v>29</v>
      </c>
      <c r="F79" s="5">
        <v>1</v>
      </c>
      <c r="G79" s="4" t="s">
        <v>140</v>
      </c>
      <c r="H79" s="3" t="s">
        <v>115</v>
      </c>
      <c r="I79" s="3" t="s">
        <v>32</v>
      </c>
      <c r="J79" s="4" t="s">
        <v>99</v>
      </c>
      <c r="K79" s="9" t="s">
        <v>40</v>
      </c>
      <c r="M79" s="4" t="str">
        <f>IF(AND(ISNUMBER(D79),ISNUMBER(D80),ISNUMBER(D81),ISNUMBER(D82),ISNUMBER(D83),ISNUMBER(D84)),IF(AF79=1,W79,IF(AF80=1,W80,IF(AF81=1,W81,IF(AF82=1,W82,"")))),"")</f>
        <v>Argentina</v>
      </c>
      <c r="N79" s="3">
        <f>IF(AND(ISNUMBER(D79),ISNUMBER(D80),ISNUMBER(D81),ISNUMBER(D82),ISNUMBER(D83),ISNUMBER(D84)),IF(AF79=1,X79,IF(AF80=1,X80,IF(AF81=1,X81,IF(AF82=1,X82,"")))),"")</f>
        <v>3</v>
      </c>
      <c r="O79" s="3">
        <f>IF(AND(ISNUMBER(D79),ISNUMBER(D80),ISNUMBER(D81),ISNUMBER(D82),ISNUMBER(D83),ISNUMBER(D84)),IF(AF79=1,Y79,IF(AF80=1,Y80,IF(AF81=1,Y81,IF(AF82=1,Y82,"")))),"")</f>
        <v>3</v>
      </c>
      <c r="P79" s="3">
        <f>IF(AND(ISNUMBER(D79),ISNUMBER(D80),ISNUMBER(D81),ISNUMBER(D82),ISNUMBER(D83),ISNUMBER(D84)),IF(AF79=1,Z79,IF(AF80=1,Z80,IF(AF81=1,Z81,IF(AF82=1,Z82,"")))),"")</f>
        <v>0</v>
      </c>
      <c r="Q79" s="3">
        <f>IF(AND(ISNUMBER(D79),ISNUMBER(D80),ISNUMBER(D81),ISNUMBER(D82),ISNUMBER(D83),ISNUMBER(D84)),IF(AF79=1,AA79,IF(AF80=1,AA80,IF(AF81=1,AA81,IF(AF82=1,AA82,"")))),"")</f>
        <v>0</v>
      </c>
      <c r="R79" s="3">
        <f>IF(AND(ISNUMBER(D79),ISNUMBER(D80),ISNUMBER(D81),ISNUMBER(D82),ISNUMBER(D83),ISNUMBER(D84)),IF(AF79=1,AB79,IF(AF80=1,AB80,IF(AF81=1,AB81,IF(AF82=1,AB82,"")))),"")</f>
        <v>9</v>
      </c>
      <c r="S79" s="3">
        <f>IF(AND(ISNUMBER(D79),ISNUMBER(D80),ISNUMBER(D81),ISNUMBER(D82),ISNUMBER(D83),ISNUMBER(D84)),IF(AF79=1,AC79,IF(AF80=1,AC80,IF(AF81=1,AC81,IF(AF82=1,AC82,"")))),"")</f>
        <v>2</v>
      </c>
      <c r="T79" s="3">
        <f>IF(AND(ISNUMBER(D79),ISNUMBER(D80),ISNUMBER(D81),ISNUMBER(D82),ISNUMBER(D83),ISNUMBER(D84)),IF(AF79=1,AD79,IF(AF80=1,AD80,IF(AF81=1,AD81,IF(AF82=1,AD82,"")))),"")</f>
        <v>7</v>
      </c>
      <c r="U79" s="3">
        <f>IF(AND(ISNUMBER(D79),ISNUMBER(D80),ISNUMBER(D81),ISNUMBER(D82),ISNUMBER(D83),ISNUMBER(D84)),IF(AF79=1,AE79,IF(AF80=1,AE80,IF(AF81=1,AE81,IF(AF82=1,AE82,"")))),"")</f>
        <v>9</v>
      </c>
      <c r="W79" t="s">
        <v>139</v>
      </c>
      <c r="X79">
        <f>((C79="Argentina")*ISNUMBER(D79))+((G79="Argentina")*ISNUMBER(D79))+((C80="Argentina")*ISNUMBER(D80))+((G80="Argentina")*ISNUMBER(D80))+((C81="Argentina")*ISNUMBER(D81))+((G81="Argentina")*ISNUMBER(D81))+((C82="Argentina")*ISNUMBER(D82))+((G82="Argentina")*ISNUMBER(D82))+((C83="Argentina")*ISNUMBER(D83))+((G83="Argentina")*ISNUMBER(D83))+((C84="Argentina")*ISNUMBER(D84))+((G84="Argentina")*ISNUMBER(D84))</f>
        <v>3</v>
      </c>
      <c r="Y79">
        <f>((C79="Argentina")*ISNUMBER(D79)*(D79&gt;F79))+((G79="Argentina")*ISNUMBER(D79)*(F79&gt;D79))+((C80="Argentina")*ISNUMBER(D80)*(D80&gt;F80))+((G80="Argentina")*ISNUMBER(D80)*(F80&gt;D80))+((C81="Argentina")*ISNUMBER(D81)*(D81&gt;F81))+((G81="Argentina")*ISNUMBER(D81)*(F81&gt;D81))+((C82="Argentina")*ISNUMBER(D82)*(D82&gt;F82))+((G82="Argentina")*ISNUMBER(D82)*(F82&gt;D82))+((C83="Argentina")*ISNUMBER(D83)*(D83&gt;F83))+((G83="Argentina")*ISNUMBER(D83)*(F83&gt;D83))+((C84="Argentina")*ISNUMBER(D84)*(D84&gt;F84))+((G84="Argentina")*ISNUMBER(D84)*(F84&gt;D84))</f>
        <v>3</v>
      </c>
      <c r="Z79">
        <f>((C79="Argentina")*ISNUMBER(D79)*(D79=F79))+((G79="Argentina")*ISNUMBER(D79)*(F79=D79))+((C80="Argentina")*ISNUMBER(D80)*(D80=F80))+((G80="Argentina")*ISNUMBER(D80)*(F80=D80))+((C81="Argentina")*ISNUMBER(D81)*(D81=F81))+((G81="Argentina")*ISNUMBER(D81)*(F81=D81))+((C82="Argentina")*ISNUMBER(D82)*(D82=F82))+((G82="Argentina")*ISNUMBER(D82)*(F82=D82))+((C83="Argentina")*ISNUMBER(D83)*(D83=F83))+((G83="Argentina")*ISNUMBER(D83)*(F83=D83))+((C84="Argentina")*ISNUMBER(D84)*(D84=F84))+((G84="Argentina")*ISNUMBER(D84)*(F84=D84))</f>
        <v>0</v>
      </c>
      <c r="AA79">
        <f>((C79="Argentina")*ISNUMBER(D79)*(D79&lt;F79))+((G79="Argentina")*ISNUMBER(D79)*(F79&lt;D79))+((C80="Argentina")*ISNUMBER(D80)*(D80&lt;F80))+((G80="Argentina")*ISNUMBER(D80)*(F80&lt;D80))+((C81="Argentina")*ISNUMBER(D81)*(D81&lt;F81))+((G81="Argentina")*ISNUMBER(D81)*(F81&lt;D81))+((C82="Argentina")*ISNUMBER(D82)*(D82&lt;F82))+((G82="Argentina")*ISNUMBER(D82)*(F82&lt;D82))+((C83="Argentina")*ISNUMBER(D83)*(D83&lt;F83))+((G83="Argentina")*ISNUMBER(D83)*(F83&lt;D83))+((C84="Argentina")*ISNUMBER(D84)*(D84&lt;F84))+((G84="Argentina")*ISNUMBER(D84)*(F84&lt;D84))</f>
        <v>0</v>
      </c>
      <c r="AB79">
        <f>IF((C79="Argentina")*ISNUMBER(D79),D79,0)+IF((G79="Argentina")*ISNUMBER(D79),F79,0)+IF((C80="Argentina")*ISNUMBER(D80),D80,0)+IF((G80="Argentina")*ISNUMBER(D80),F80,0)+IF((C81="Argentina")*ISNUMBER(D81),D81,0)+IF((G81="Argentina")*ISNUMBER(D81),F81,0)+IF((C82="Argentina")*ISNUMBER(D82),D82,0)+IF((G82="Argentina")*ISNUMBER(D82),F82,0)+IF((C83="Argentina")*ISNUMBER(D83),D83,0)+IF((G83="Argentina")*ISNUMBER(D83),F83,0)+IF((C84="Argentina")*ISNUMBER(D84),D84,0)+IF((G84="Argentina")*ISNUMBER(D84),F84,0)</f>
        <v>9</v>
      </c>
      <c r="AC79">
        <f>IF((C79="Argentina")*ISNUMBER(D79),F79,0)+IF((G79="Argentina")*ISNUMBER(D79),D79,0)+IF((C80="Argentina")*ISNUMBER(D80),F80,0)+IF((G80="Argentina")*ISNUMBER(D80),D80,0)+IF((C81="Argentina")*ISNUMBER(D81),F81,0)+IF((G81="Argentina")*ISNUMBER(D81),D81,0)+IF((C82="Argentina")*ISNUMBER(D82),F82,0)+IF((G82="Argentina")*ISNUMBER(D82),D82,0)+IF((C83="Argentina")*ISNUMBER(D83),F83,0)+IF((G83="Argentina")*ISNUMBER(D83),D83,0)+IF((C84="Argentina")*ISNUMBER(D84),F84,0)+IF((G84="Argentina")*ISNUMBER(D84),D84,0)</f>
        <v>2</v>
      </c>
      <c r="AD79">
        <f>AB79-AC79</f>
        <v>7</v>
      </c>
      <c r="AE79">
        <f>3*Y79+Z79</f>
        <v>9</v>
      </c>
      <c r="AF79">
        <f>1+((AE80&gt;AE79)+(AE80=AE79)*(AD80&gt;AD79)+(AE80=AE79)*(AD80=AD79)*(AB80&gt;AB79)&gt;0)*1+((AE81&gt;AE79)+(AE81=AE79)*(AD81&gt;AD79)+(AE81=AE79)*(AD81=AD79)*(AB81&gt;AB79)&gt;0)*1+((AE82&gt;AE79)+(AE82=AE79)*(AD82&gt;AD79)+(AE82=AE79)*(AD82=AD79)*(AB82&gt;AB79)&gt;0)*1</f>
        <v>1</v>
      </c>
    </row>
    <row r="80" spans="1:32" ht="16.5" customHeight="1" x14ac:dyDescent="0.3">
      <c r="A80" s="7">
        <v>56</v>
      </c>
      <c r="B80" s="7" t="s">
        <v>138</v>
      </c>
      <c r="C80" s="8" t="s">
        <v>141</v>
      </c>
      <c r="D80" s="5">
        <v>2</v>
      </c>
      <c r="E80" s="7" t="s">
        <v>29</v>
      </c>
      <c r="F80" s="5">
        <v>2</v>
      </c>
      <c r="G80" s="8" t="s">
        <v>142</v>
      </c>
      <c r="H80" s="7" t="s">
        <v>133</v>
      </c>
      <c r="I80" s="7" t="s">
        <v>83</v>
      </c>
      <c r="J80" s="8" t="s">
        <v>57</v>
      </c>
      <c r="K80" s="9" t="s">
        <v>40</v>
      </c>
      <c r="M80" s="4" t="str">
        <f>IF(AND(ISNUMBER(D79),ISNUMBER(D80),ISNUMBER(D81),ISNUMBER(D82),ISNUMBER(D83),ISNUMBER(D84)),IF(AF79=2,W79,IF(AF80=2,W80,IF(AF81=2,W81,IF(AF82=2,W82,"")))),"")</f>
        <v>Østerrike</v>
      </c>
      <c r="N80" s="3">
        <f>IF(AND(ISNUMBER(D79),ISNUMBER(D80),ISNUMBER(D81),ISNUMBER(D82),ISNUMBER(D83),ISNUMBER(D84)),IF(AF79=2,X79,IF(AF80=2,X80,IF(AF81=2,X81,IF(AF82=2,X82,"")))),"")</f>
        <v>3</v>
      </c>
      <c r="O80" s="3">
        <f>IF(AND(ISNUMBER(D79),ISNUMBER(D80),ISNUMBER(D81),ISNUMBER(D82),ISNUMBER(D83),ISNUMBER(D84)),IF(AF79=2,Y79,IF(AF80=2,Y80,IF(AF81=2,Y81,IF(AF82=2,Y82,"")))),"")</f>
        <v>1</v>
      </c>
      <c r="P80" s="3">
        <f>IF(AND(ISNUMBER(D79),ISNUMBER(D80),ISNUMBER(D81),ISNUMBER(D82),ISNUMBER(D83),ISNUMBER(D84)),IF(AF79=2,Z79,IF(AF80=2,Z80,IF(AF81=2,Z81,IF(AF82=2,Z82,"")))),"")</f>
        <v>1</v>
      </c>
      <c r="Q80" s="3">
        <f>IF(AND(ISNUMBER(D79),ISNUMBER(D80),ISNUMBER(D81),ISNUMBER(D82),ISNUMBER(D83),ISNUMBER(D84)),IF(AF79=2,AA79,IF(AF80=2,AA80,IF(AF81=2,AA81,IF(AF82=2,AA82,"")))),"")</f>
        <v>1</v>
      </c>
      <c r="R80" s="3">
        <f>IF(AND(ISNUMBER(D79),ISNUMBER(D80),ISNUMBER(D81),ISNUMBER(D82),ISNUMBER(D83),ISNUMBER(D84)),IF(AF79=2,AB79,IF(AF80=2,AB80,IF(AF81=2,AB81,IF(AF82=2,AB82,"")))),"")</f>
        <v>4</v>
      </c>
      <c r="S80" s="3">
        <f>IF(AND(ISNUMBER(D79),ISNUMBER(D80),ISNUMBER(D81),ISNUMBER(D82),ISNUMBER(D83),ISNUMBER(D84)),IF(AF79=2,AC79,IF(AF80=2,AC80,IF(AF81=2,AC81,IF(AF82=2,AC82,"")))),"")</f>
        <v>5</v>
      </c>
      <c r="T80" s="3">
        <f>IF(AND(ISNUMBER(D79),ISNUMBER(D80),ISNUMBER(D81),ISNUMBER(D82),ISNUMBER(D83),ISNUMBER(D84)),IF(AF79=2,AD79,IF(AF80=2,AD80,IF(AF81=2,AD81,IF(AF82=2,AD82,"")))),"")</f>
        <v>-1</v>
      </c>
      <c r="U80" s="3">
        <f>IF(AND(ISNUMBER(D79),ISNUMBER(D80),ISNUMBER(D81),ISNUMBER(D82),ISNUMBER(D83),ISNUMBER(D84)),IF(AF79=2,AE79,IF(AF80=2,AE80,IF(AF81=2,AE81,IF(AF82=2,AE82,"")))),"")</f>
        <v>4</v>
      </c>
      <c r="W80" t="s">
        <v>140</v>
      </c>
      <c r="X80">
        <f>((C79="Algerie")*ISNUMBER(D79))+((G79="Algerie")*ISNUMBER(D79))+((C80="Algerie")*ISNUMBER(D80))+((G80="Algerie")*ISNUMBER(D80))+((C81="Algerie")*ISNUMBER(D81))+((G81="Algerie")*ISNUMBER(D81))+((C82="Algerie")*ISNUMBER(D82))+((G82="Algerie")*ISNUMBER(D82))+((C83="Algerie")*ISNUMBER(D83))+((G83="Algerie")*ISNUMBER(D83))+((C84="Algerie")*ISNUMBER(D84))+((G84="Algerie")*ISNUMBER(D84))</f>
        <v>3</v>
      </c>
      <c r="Y80">
        <f>((C79="Algerie")*ISNUMBER(D79)*(D79&gt;F79))+((G79="Algerie")*ISNUMBER(D79)*(F79&gt;D79))+((C80="Algerie")*ISNUMBER(D80)*(D80&gt;F80))+((G80="Algerie")*ISNUMBER(D80)*(F80&gt;D80))+((C81="Algerie")*ISNUMBER(D81)*(D81&gt;F81))+((G81="Algerie")*ISNUMBER(D81)*(F81&gt;D81))+((C82="Algerie")*ISNUMBER(D82)*(D82&gt;F82))+((G82="Algerie")*ISNUMBER(D82)*(F82&gt;D82))+((C83="Algerie")*ISNUMBER(D83)*(D83&gt;F83))+((G83="Algerie")*ISNUMBER(D83)*(F83&gt;D83))+((C84="Algerie")*ISNUMBER(D84)*(D84&gt;F84))+((G84="Algerie")*ISNUMBER(D84)*(F84&gt;D84))</f>
        <v>1</v>
      </c>
      <c r="Z80">
        <f>((C79="Algerie")*ISNUMBER(D79)*(D79=F79))+((G79="Algerie")*ISNUMBER(D79)*(F79=D79))+((C80="Algerie")*ISNUMBER(D80)*(D80=F80))+((G80="Algerie")*ISNUMBER(D80)*(F80=D80))+((C81="Algerie")*ISNUMBER(D81)*(D81=F81))+((G81="Algerie")*ISNUMBER(D81)*(F81=D81))+((C82="Algerie")*ISNUMBER(D82)*(D82=F82))+((G82="Algerie")*ISNUMBER(D82)*(F82=D82))+((C83="Algerie")*ISNUMBER(D83)*(D83=F83))+((G83="Algerie")*ISNUMBER(D83)*(F83=D83))+((C84="Algerie")*ISNUMBER(D84)*(D84=F84))+((G84="Algerie")*ISNUMBER(D84)*(F84=D84))</f>
        <v>0</v>
      </c>
      <c r="AA80">
        <f>((C79="Algerie")*ISNUMBER(D79)*(D79&lt;F79))+((G79="Algerie")*ISNUMBER(D79)*(F79&lt;D79))+((C80="Algerie")*ISNUMBER(D80)*(D80&lt;F80))+((G80="Algerie")*ISNUMBER(D80)*(F80&lt;D80))+((C81="Algerie")*ISNUMBER(D81)*(D81&lt;F81))+((G81="Algerie")*ISNUMBER(D81)*(F81&lt;D81))+((C82="Algerie")*ISNUMBER(D82)*(D82&lt;F82))+((G82="Algerie")*ISNUMBER(D82)*(F82&lt;D82))+((C83="Algerie")*ISNUMBER(D83)*(D83&lt;F83))+((G83="Algerie")*ISNUMBER(D83)*(F83&lt;D83))+((C84="Algerie")*ISNUMBER(D84)*(D84&lt;F84))+((G84="Algerie")*ISNUMBER(D84)*(F84&lt;D84))</f>
        <v>2</v>
      </c>
      <c r="AB80">
        <f>IF((C79="Algerie")*ISNUMBER(D79),D79,0)+IF((G79="Algerie")*ISNUMBER(D79),F79,0)+IF((C80="Algerie")*ISNUMBER(D80),D80,0)+IF((G80="Algerie")*ISNUMBER(D80),F80,0)+IF((C81="Algerie")*ISNUMBER(D81),D81,0)+IF((G81="Algerie")*ISNUMBER(D81),F81,0)+IF((C82="Algerie")*ISNUMBER(D82),D82,0)+IF((G82="Algerie")*ISNUMBER(D82),F82,0)+IF((C83="Algerie")*ISNUMBER(D83),D83,0)+IF((G83="Algerie")*ISNUMBER(D83),F83,0)+IF((C84="Algerie")*ISNUMBER(D84),D84,0)+IF((G84="Algerie")*ISNUMBER(D84),F84,0)</f>
        <v>4</v>
      </c>
      <c r="AC80">
        <f>IF((C79="Algerie")*ISNUMBER(D79),F79,0)+IF((G79="Algerie")*ISNUMBER(D79),D79,0)+IF((C80="Algerie")*ISNUMBER(D80),F80,0)+IF((G80="Algerie")*ISNUMBER(D80),D80,0)+IF((C81="Algerie")*ISNUMBER(D81),F81,0)+IF((G81="Algerie")*ISNUMBER(D81),D81,0)+IF((C82="Algerie")*ISNUMBER(D82),F82,0)+IF((G82="Algerie")*ISNUMBER(D82),D82,0)+IF((C83="Algerie")*ISNUMBER(D83),F83,0)+IF((G83="Algerie")*ISNUMBER(D83),D83,0)+IF((C84="Algerie")*ISNUMBER(D84),F84,0)+IF((G84="Algerie")*ISNUMBER(D84),D84,0)</f>
        <v>5</v>
      </c>
      <c r="AD80">
        <f>AB80-AC80</f>
        <v>-1</v>
      </c>
      <c r="AE80">
        <f>3*Y80+Z80</f>
        <v>3</v>
      </c>
      <c r="AF80">
        <f>1+((AE79&gt;AE80)+(AE79=AE80)*(AD79&gt;AD80)+(AE79=AE80)*(AD79=AD80)*(AB79&gt;AB80)&gt;0)*1+((AE81&gt;AE80)+(AE81=AE80)*(AD81&gt;AD80)+(AE81=AE80)*(AD81=AD80)*(AB81&gt;AB80)&gt;0)*1+((AE82&gt;AE80)+(AE82=AE80)*(AD82&gt;AD80)+(AE82=AE80)*(AD82=AD80)*(AB82&gt;AB80)&gt;0)*1</f>
        <v>3</v>
      </c>
    </row>
    <row r="81" spans="1:32" ht="16.5" customHeight="1" x14ac:dyDescent="0.3">
      <c r="A81" s="3">
        <v>57</v>
      </c>
      <c r="B81" s="3" t="s">
        <v>138</v>
      </c>
      <c r="C81" s="4" t="s">
        <v>139</v>
      </c>
      <c r="D81" s="5">
        <v>2</v>
      </c>
      <c r="E81" s="3" t="s">
        <v>29</v>
      </c>
      <c r="F81" s="5">
        <v>0</v>
      </c>
      <c r="G81" s="4" t="s">
        <v>141</v>
      </c>
      <c r="H81" s="3" t="s">
        <v>116</v>
      </c>
      <c r="I81" s="3" t="s">
        <v>90</v>
      </c>
      <c r="J81" s="4" t="s">
        <v>105</v>
      </c>
      <c r="K81" s="6" t="s">
        <v>34</v>
      </c>
      <c r="M81" s="4" t="str">
        <f>IF(AND(ISNUMBER(D79),ISNUMBER(D80),ISNUMBER(D81),ISNUMBER(D82),ISNUMBER(D83),ISNUMBER(D84)),IF(AF79=3,W79,IF(AF80=3,W80,IF(AF81=3,W81,IF(AF82=3,W82,"")))),"")</f>
        <v>Algerie</v>
      </c>
      <c r="N81" s="3">
        <f>IF(AND(ISNUMBER(D79),ISNUMBER(D80),ISNUMBER(D81),ISNUMBER(D82),ISNUMBER(D83),ISNUMBER(D84)),IF(AF79=3,X79,IF(AF80=3,X80,IF(AF81=3,X81,IF(AF82=3,X82,"")))),"")</f>
        <v>3</v>
      </c>
      <c r="O81" s="3">
        <f>IF(AND(ISNUMBER(D79),ISNUMBER(D80),ISNUMBER(D81),ISNUMBER(D82),ISNUMBER(D83),ISNUMBER(D84)),IF(AF79=3,Y79,IF(AF80=3,Y80,IF(AF81=3,Y81,IF(AF82=3,Y82,"")))),"")</f>
        <v>1</v>
      </c>
      <c r="P81" s="3">
        <f>IF(AND(ISNUMBER(D79),ISNUMBER(D80),ISNUMBER(D81),ISNUMBER(D82),ISNUMBER(D83),ISNUMBER(D84)),IF(AF79=3,Z79,IF(AF80=3,Z80,IF(AF81=3,Z81,IF(AF82=3,Z82,"")))),"")</f>
        <v>0</v>
      </c>
      <c r="Q81" s="3">
        <f>IF(AND(ISNUMBER(D79),ISNUMBER(D80),ISNUMBER(D81),ISNUMBER(D82),ISNUMBER(D83),ISNUMBER(D84)),IF(AF79=3,AA79,IF(AF80=3,AA80,IF(AF81=3,AA81,IF(AF82=3,AA82,"")))),"")</f>
        <v>2</v>
      </c>
      <c r="R81" s="3">
        <f>IF(AND(ISNUMBER(D79),ISNUMBER(D80),ISNUMBER(D81),ISNUMBER(D82),ISNUMBER(D83),ISNUMBER(D84)),IF(AF79=3,AB79,IF(AF80=3,AB80,IF(AF81=3,AB81,IF(AF82=3,AB82,"")))),"")</f>
        <v>4</v>
      </c>
      <c r="S81" s="3">
        <f>IF(AND(ISNUMBER(D79),ISNUMBER(D80),ISNUMBER(D81),ISNUMBER(D82),ISNUMBER(D83),ISNUMBER(D84)),IF(AF79=3,AC79,IF(AF80=3,AC80,IF(AF81=3,AC81,IF(AF82=3,AC82,"")))),"")</f>
        <v>5</v>
      </c>
      <c r="T81" s="3">
        <f>IF(AND(ISNUMBER(D79),ISNUMBER(D80),ISNUMBER(D81),ISNUMBER(D82),ISNUMBER(D83),ISNUMBER(D84)),IF(AF79=3,AD79,IF(AF80=3,AD80,IF(AF81=3,AD81,IF(AF82=3,AD82,"")))),"")</f>
        <v>-1</v>
      </c>
      <c r="U81" s="3">
        <f>IF(AND(ISNUMBER(D79),ISNUMBER(D80),ISNUMBER(D81),ISNUMBER(D82),ISNUMBER(D83),ISNUMBER(D84)),IF(AF79=3,AE79,IF(AF80=3,AE80,IF(AF81=3,AE81,IF(AF82=3,AE82,"")))),"")</f>
        <v>3</v>
      </c>
      <c r="W81" t="s">
        <v>141</v>
      </c>
      <c r="X81">
        <f>((C79="Østerrike")*ISNUMBER(D79))+((G79="Østerrike")*ISNUMBER(D79))+((C80="Østerrike")*ISNUMBER(D80))+((G80="Østerrike")*ISNUMBER(D80))+((C81="Østerrike")*ISNUMBER(D81))+((G81="Østerrike")*ISNUMBER(D81))+((C82="Østerrike")*ISNUMBER(D82))+((G82="Østerrike")*ISNUMBER(D82))+((C83="Østerrike")*ISNUMBER(D83))+((G83="Østerrike")*ISNUMBER(D83))+((C84="Østerrike")*ISNUMBER(D84))+((G84="Østerrike")*ISNUMBER(D84))</f>
        <v>3</v>
      </c>
      <c r="Y81">
        <f>((C79="Østerrike")*ISNUMBER(D79)*(D79&gt;F79))+((G79="Østerrike")*ISNUMBER(D79)*(F79&gt;D79))+((C80="Østerrike")*ISNUMBER(D80)*(D80&gt;F80))+((G80="Østerrike")*ISNUMBER(D80)*(F80&gt;D80))+((C81="Østerrike")*ISNUMBER(D81)*(D81&gt;F81))+((G81="Østerrike")*ISNUMBER(D81)*(F81&gt;D81))+((C82="Østerrike")*ISNUMBER(D82)*(D82&gt;F82))+((G82="Østerrike")*ISNUMBER(D82)*(F82&gt;D82))+((C83="Østerrike")*ISNUMBER(D83)*(D83&gt;F83))+((G83="Østerrike")*ISNUMBER(D83)*(F83&gt;D83))+((C84="Østerrike")*ISNUMBER(D84)*(D84&gt;F84))+((G84="Østerrike")*ISNUMBER(D84)*(F84&gt;D84))</f>
        <v>1</v>
      </c>
      <c r="Z81">
        <f>((C79="Østerrike")*ISNUMBER(D79)*(D79=F79))+((G79="Østerrike")*ISNUMBER(D79)*(F79=D79))+((C80="Østerrike")*ISNUMBER(D80)*(D80=F80))+((G80="Østerrike")*ISNUMBER(D80)*(F80=D80))+((C81="Østerrike")*ISNUMBER(D81)*(D81=F81))+((G81="Østerrike")*ISNUMBER(D81)*(F81=D81))+((C82="Østerrike")*ISNUMBER(D82)*(D82=F82))+((G82="Østerrike")*ISNUMBER(D82)*(F82=D82))+((C83="Østerrike")*ISNUMBER(D83)*(D83=F83))+((G83="Østerrike")*ISNUMBER(D83)*(F83=D83))+((C84="Østerrike")*ISNUMBER(D84)*(D84=F84))+((G84="Østerrike")*ISNUMBER(D84)*(F84=D84))</f>
        <v>1</v>
      </c>
      <c r="AA81">
        <f>((C79="Østerrike")*ISNUMBER(D79)*(D79&lt;F79))+((G79="Østerrike")*ISNUMBER(D79)*(F79&lt;D79))+((C80="Østerrike")*ISNUMBER(D80)*(D80&lt;F80))+((G80="Østerrike")*ISNUMBER(D80)*(F80&lt;D80))+((C81="Østerrike")*ISNUMBER(D81)*(D81&lt;F81))+((G81="Østerrike")*ISNUMBER(D81)*(F81&lt;D81))+((C82="Østerrike")*ISNUMBER(D82)*(D82&lt;F82))+((G82="Østerrike")*ISNUMBER(D82)*(F82&lt;D82))+((C83="Østerrike")*ISNUMBER(D83)*(D83&lt;F83))+((G83="Østerrike")*ISNUMBER(D83)*(F83&lt;D83))+((C84="Østerrike")*ISNUMBER(D84)*(D84&lt;F84))+((G84="Østerrike")*ISNUMBER(D84)*(F84&lt;D84))</f>
        <v>1</v>
      </c>
      <c r="AB81">
        <f>IF((C79="Østerrike")*ISNUMBER(D79),D79,0)+IF((G79="Østerrike")*ISNUMBER(D79),F79,0)+IF((C80="Østerrike")*ISNUMBER(D80),D80,0)+IF((G80="Østerrike")*ISNUMBER(D80),F80,0)+IF((C81="Østerrike")*ISNUMBER(D81),D81,0)+IF((G81="Østerrike")*ISNUMBER(D81),F81,0)+IF((C82="Østerrike")*ISNUMBER(D82),D82,0)+IF((G82="Østerrike")*ISNUMBER(D82),F82,0)+IF((C83="Østerrike")*ISNUMBER(D83),D83,0)+IF((G83="Østerrike")*ISNUMBER(D83),F83,0)+IF((C84="Østerrike")*ISNUMBER(D84),D84,0)+IF((G84="Østerrike")*ISNUMBER(D84),F84,0)</f>
        <v>4</v>
      </c>
      <c r="AC81">
        <f>IF((C79="Østerrike")*ISNUMBER(D79),F79,0)+IF((G79="Østerrike")*ISNUMBER(D79),D79,0)+IF((C80="Østerrike")*ISNUMBER(D80),F80,0)+IF((G80="Østerrike")*ISNUMBER(D80),D80,0)+IF((C81="Østerrike")*ISNUMBER(D81),F81,0)+IF((G81="Østerrike")*ISNUMBER(D81),D81,0)+IF((C82="Østerrike")*ISNUMBER(D82),F82,0)+IF((G82="Østerrike")*ISNUMBER(D82),D82,0)+IF((C83="Østerrike")*ISNUMBER(D83),F83,0)+IF((G83="Østerrike")*ISNUMBER(D83),D83,0)+IF((C84="Østerrike")*ISNUMBER(D84),F84,0)+IF((G84="Østerrike")*ISNUMBER(D84),D84,0)</f>
        <v>5</v>
      </c>
      <c r="AD81">
        <f>AB81-AC81</f>
        <v>-1</v>
      </c>
      <c r="AE81">
        <f>3*Y81+Z81</f>
        <v>4</v>
      </c>
      <c r="AF81">
        <f>1+((AE79&gt;AE81)+(AE79=AE81)*(AD79&gt;AD81)+(AE79=AE81)*(AD79=AD81)*(AB79&gt;AB81)&gt;0)*1+((AE80&gt;AE81)+(AE80=AE81)*(AD80&gt;AD81)+(AE80=AE81)*(AD80=AD81)*(AB80&gt;AB81)&gt;0)*1+((AE82&gt;AE81)+(AE82=AE81)*(AD82&gt;AD81)+(AE82=AE81)*(AD82=AD81)*(AB82&gt;AB81)&gt;0)*1</f>
        <v>2</v>
      </c>
    </row>
    <row r="82" spans="1:32" ht="16.5" customHeight="1" x14ac:dyDescent="0.3">
      <c r="A82" s="7">
        <v>58</v>
      </c>
      <c r="B82" s="7" t="s">
        <v>138</v>
      </c>
      <c r="C82" s="8" t="s">
        <v>142</v>
      </c>
      <c r="D82" s="5">
        <v>0</v>
      </c>
      <c r="E82" s="7" t="s">
        <v>29</v>
      </c>
      <c r="F82" s="5">
        <v>2</v>
      </c>
      <c r="G82" s="8" t="s">
        <v>140</v>
      </c>
      <c r="H82" s="7" t="s">
        <v>135</v>
      </c>
      <c r="I82" s="7" t="s">
        <v>118</v>
      </c>
      <c r="J82" s="8" t="s">
        <v>57</v>
      </c>
      <c r="K82" s="6" t="s">
        <v>34</v>
      </c>
      <c r="M82" s="4" t="str">
        <f>IF(AND(ISNUMBER(D79),ISNUMBER(D80),ISNUMBER(D81),ISNUMBER(D82),ISNUMBER(D83),ISNUMBER(D84)),IF(AF79=4,W79,IF(AF80=4,W80,IF(AF81=4,W81,IF(AF82=4,W82,"")))),"")</f>
        <v>Jordan</v>
      </c>
      <c r="N82" s="3">
        <f>IF(AND(ISNUMBER(D79),ISNUMBER(D80),ISNUMBER(D81),ISNUMBER(D82),ISNUMBER(D83),ISNUMBER(D84)),IF(AF79=4,X79,IF(AF80=4,X80,IF(AF81=4,X81,IF(AF82=4,X82,"")))),"")</f>
        <v>3</v>
      </c>
      <c r="O82" s="3">
        <f>IF(AND(ISNUMBER(D79),ISNUMBER(D80),ISNUMBER(D81),ISNUMBER(D82),ISNUMBER(D83),ISNUMBER(D84)),IF(AF79=4,Y79,IF(AF80=4,Y80,IF(AF81=4,Y81,IF(AF82=4,Y82,"")))),"")</f>
        <v>0</v>
      </c>
      <c r="P82" s="3">
        <f>IF(AND(ISNUMBER(D79),ISNUMBER(D80),ISNUMBER(D81),ISNUMBER(D82),ISNUMBER(D83),ISNUMBER(D84)),IF(AF79=4,Z79,IF(AF80=4,Z80,IF(AF81=4,Z81,IF(AF82=4,Z82,"")))),"")</f>
        <v>1</v>
      </c>
      <c r="Q82" s="3">
        <f>IF(AND(ISNUMBER(D79),ISNUMBER(D80),ISNUMBER(D81),ISNUMBER(D82),ISNUMBER(D83),ISNUMBER(D84)),IF(AF79=4,AA79,IF(AF80=4,AA80,IF(AF81=4,AA81,IF(AF82=4,AA82,"")))),"")</f>
        <v>2</v>
      </c>
      <c r="R82" s="3">
        <f>IF(AND(ISNUMBER(D79),ISNUMBER(D80),ISNUMBER(D81),ISNUMBER(D82),ISNUMBER(D83),ISNUMBER(D84)),IF(AF79=4,AB79,IF(AF80=4,AB80,IF(AF81=4,AB81,IF(AF82=4,AB82,"")))),"")</f>
        <v>3</v>
      </c>
      <c r="S82" s="3">
        <f>IF(AND(ISNUMBER(D79),ISNUMBER(D80),ISNUMBER(D81),ISNUMBER(D82),ISNUMBER(D83),ISNUMBER(D84)),IF(AF79=4,AC79,IF(AF80=4,AC80,IF(AF81=4,AC81,IF(AF82=4,AC82,"")))),"")</f>
        <v>8</v>
      </c>
      <c r="T82" s="3">
        <f>IF(AND(ISNUMBER(D79),ISNUMBER(D80),ISNUMBER(D81),ISNUMBER(D82),ISNUMBER(D83),ISNUMBER(D84)),IF(AF79=4,AD79,IF(AF80=4,AD80,IF(AF81=4,AD81,IF(AF82=4,AD82,"")))),"")</f>
        <v>-5</v>
      </c>
      <c r="U82" s="3">
        <f>IF(AND(ISNUMBER(D79),ISNUMBER(D80),ISNUMBER(D81),ISNUMBER(D82),ISNUMBER(D83),ISNUMBER(D84)),IF(AF79=4,AE79,IF(AF80=4,AE80,IF(AF81=4,AE81,IF(AF82=4,AE82,"")))),"")</f>
        <v>1</v>
      </c>
      <c r="W82" t="s">
        <v>142</v>
      </c>
      <c r="X82">
        <f>((C79="Jordan")*ISNUMBER(D79))+((G79="Jordan")*ISNUMBER(D79))+((C80="Jordan")*ISNUMBER(D80))+((G80="Jordan")*ISNUMBER(D80))+((C81="Jordan")*ISNUMBER(D81))+((G81="Jordan")*ISNUMBER(D81))+((C82="Jordan")*ISNUMBER(D82))+((G82="Jordan")*ISNUMBER(D82))+((C83="Jordan")*ISNUMBER(D83))+((G83="Jordan")*ISNUMBER(D83))+((C84="Jordan")*ISNUMBER(D84))+((G84="Jordan")*ISNUMBER(D84))</f>
        <v>3</v>
      </c>
      <c r="Y82">
        <f>((C79="Jordan")*ISNUMBER(D79)*(D79&gt;F79))+((G79="Jordan")*ISNUMBER(D79)*(F79&gt;D79))+((C80="Jordan")*ISNUMBER(D80)*(D80&gt;F80))+((G80="Jordan")*ISNUMBER(D80)*(F80&gt;D80))+((C81="Jordan")*ISNUMBER(D81)*(D81&gt;F81))+((G81="Jordan")*ISNUMBER(D81)*(F81&gt;D81))+((C82="Jordan")*ISNUMBER(D82)*(D82&gt;F82))+((G82="Jordan")*ISNUMBER(D82)*(F82&gt;D82))+((C83="Jordan")*ISNUMBER(D83)*(D83&gt;F83))+((G83="Jordan")*ISNUMBER(D83)*(F83&gt;D83))+((C84="Jordan")*ISNUMBER(D84)*(D84&gt;F84))+((G84="Jordan")*ISNUMBER(D84)*(F84&gt;D84))</f>
        <v>0</v>
      </c>
      <c r="Z82">
        <f>((C79="Jordan")*ISNUMBER(D79)*(D79=F79))+((G79="Jordan")*ISNUMBER(D79)*(F79=D79))+((C80="Jordan")*ISNUMBER(D80)*(D80=F80))+((G80="Jordan")*ISNUMBER(D80)*(F80=D80))+((C81="Jordan")*ISNUMBER(D81)*(D81=F81))+((G81="Jordan")*ISNUMBER(D81)*(F81=D81))+((C82="Jordan")*ISNUMBER(D82)*(D82=F82))+((G82="Jordan")*ISNUMBER(D82)*(F82=D82))+((C83="Jordan")*ISNUMBER(D83)*(D83=F83))+((G83="Jordan")*ISNUMBER(D83)*(F83=D83))+((C84="Jordan")*ISNUMBER(D84)*(D84=F84))+((G84="Jordan")*ISNUMBER(D84)*(F84=D84))</f>
        <v>1</v>
      </c>
      <c r="AA82">
        <f>((C79="Jordan")*ISNUMBER(D79)*(D79&lt;F79))+((G79="Jordan")*ISNUMBER(D79)*(F79&lt;D79))+((C80="Jordan")*ISNUMBER(D80)*(D80&lt;F80))+((G80="Jordan")*ISNUMBER(D80)*(F80&lt;D80))+((C81="Jordan")*ISNUMBER(D81)*(D81&lt;F81))+((G81="Jordan")*ISNUMBER(D81)*(F81&lt;D81))+((C82="Jordan")*ISNUMBER(D82)*(D82&lt;F82))+((G82="Jordan")*ISNUMBER(D82)*(F82&lt;D82))+((C83="Jordan")*ISNUMBER(D83)*(D83&lt;F83))+((G83="Jordan")*ISNUMBER(D83)*(F83&lt;D83))+((C84="Jordan")*ISNUMBER(D84)*(D84&lt;F84))+((G84="Jordan")*ISNUMBER(D84)*(F84&lt;D84))</f>
        <v>2</v>
      </c>
      <c r="AB82">
        <f>IF((C79="Jordan")*ISNUMBER(D79),D79,0)+IF((G79="Jordan")*ISNUMBER(D79),F79,0)+IF((C80="Jordan")*ISNUMBER(D80),D80,0)+IF((G80="Jordan")*ISNUMBER(D80),F80,0)+IF((C81="Jordan")*ISNUMBER(D81),D81,0)+IF((G81="Jordan")*ISNUMBER(D81),F81,0)+IF((C82="Jordan")*ISNUMBER(D82),D82,0)+IF((G82="Jordan")*ISNUMBER(D82),F82,0)+IF((C83="Jordan")*ISNUMBER(D83),D83,0)+IF((G83="Jordan")*ISNUMBER(D83),F83,0)+IF((C84="Jordan")*ISNUMBER(D84),D84,0)+IF((G84="Jordan")*ISNUMBER(D84),F84,0)</f>
        <v>3</v>
      </c>
      <c r="AC82">
        <f>IF((C79="Jordan")*ISNUMBER(D79),F79,0)+IF((G79="Jordan")*ISNUMBER(D79),D79,0)+IF((C80="Jordan")*ISNUMBER(D80),F80,0)+IF((G80="Jordan")*ISNUMBER(D80),D80,0)+IF((C81="Jordan")*ISNUMBER(D81),F81,0)+IF((G81="Jordan")*ISNUMBER(D81),D81,0)+IF((C82="Jordan")*ISNUMBER(D82),F82,0)+IF((G82="Jordan")*ISNUMBER(D82),D82,0)+IF((C83="Jordan")*ISNUMBER(D83),F83,0)+IF((G83="Jordan")*ISNUMBER(D83),D83,0)+IF((C84="Jordan")*ISNUMBER(D84),F84,0)+IF((G84="Jordan")*ISNUMBER(D84),D84,0)</f>
        <v>8</v>
      </c>
      <c r="AD82">
        <f>AB82-AC82</f>
        <v>-5</v>
      </c>
      <c r="AE82">
        <f>3*Y82+Z82</f>
        <v>1</v>
      </c>
      <c r="AF82">
        <f>1+((AE79&gt;AE82)+(AE79=AE82)*(AD79&gt;AD82)+(AE79=AE82)*(AD79=AD82)*(AB79&gt;AB82)&gt;0)*1+((AE80&gt;AE82)+(AE80=AE82)*(AD80&gt;AD82)+(AE80=AE82)*(AD80=AD82)*(AB80&gt;AB82)&gt;0)*1+((AE81&gt;AE82)+(AE81=AE82)*(AD81&gt;AD82)+(AE81=AE82)*(AD81=AD82)*(AB81&gt;AB82)&gt;0)*1</f>
        <v>4</v>
      </c>
    </row>
    <row r="83" spans="1:32" ht="16.5" customHeight="1" x14ac:dyDescent="0.3">
      <c r="A83" s="3">
        <v>59</v>
      </c>
      <c r="B83" s="3" t="s">
        <v>138</v>
      </c>
      <c r="C83" s="4" t="s">
        <v>142</v>
      </c>
      <c r="D83" s="5">
        <v>1</v>
      </c>
      <c r="E83" s="3" t="s">
        <v>29</v>
      </c>
      <c r="F83" s="5">
        <v>4</v>
      </c>
      <c r="G83" s="4" t="s">
        <v>139</v>
      </c>
      <c r="H83" s="3" t="s">
        <v>117</v>
      </c>
      <c r="I83" s="3" t="s">
        <v>96</v>
      </c>
      <c r="J83" s="4" t="s">
        <v>105</v>
      </c>
      <c r="K83" s="9" t="s">
        <v>40</v>
      </c>
    </row>
    <row r="84" spans="1:32" ht="16.5" customHeight="1" x14ac:dyDescent="0.3">
      <c r="A84" s="7">
        <v>60</v>
      </c>
      <c r="B84" s="7" t="s">
        <v>138</v>
      </c>
      <c r="C84" s="8" t="s">
        <v>140</v>
      </c>
      <c r="D84" s="5">
        <v>1</v>
      </c>
      <c r="E84" s="7" t="s">
        <v>29</v>
      </c>
      <c r="F84" s="5">
        <v>2</v>
      </c>
      <c r="G84" s="8" t="s">
        <v>141</v>
      </c>
      <c r="H84" s="7" t="s">
        <v>117</v>
      </c>
      <c r="I84" s="7" t="s">
        <v>96</v>
      </c>
      <c r="J84" s="8" t="s">
        <v>99</v>
      </c>
      <c r="K84" s="9" t="s">
        <v>40</v>
      </c>
    </row>
    <row r="85" spans="1:32" ht="18.75" customHeight="1" x14ac:dyDescent="0.3">
      <c r="A85" s="56" t="s">
        <v>143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M85" s="57" t="s">
        <v>144</v>
      </c>
      <c r="N85" s="57"/>
      <c r="O85" s="57"/>
      <c r="P85" s="57"/>
      <c r="Q85" s="57"/>
      <c r="R85" s="57"/>
      <c r="S85" s="57"/>
      <c r="T85" s="57"/>
      <c r="U85" s="57"/>
    </row>
    <row r="86" spans="1:32" ht="15.75" customHeight="1" x14ac:dyDescent="0.3">
      <c r="A86" s="1" t="s">
        <v>8</v>
      </c>
      <c r="B86" s="1" t="s">
        <v>9</v>
      </c>
      <c r="C86" s="1" t="s">
        <v>10</v>
      </c>
      <c r="D86" s="1" t="s">
        <v>11</v>
      </c>
      <c r="E86" s="1"/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17</v>
      </c>
      <c r="M86" s="2" t="s">
        <v>18</v>
      </c>
      <c r="N86" s="2" t="s">
        <v>19</v>
      </c>
      <c r="O86" s="2" t="s">
        <v>20</v>
      </c>
      <c r="P86" s="2" t="s">
        <v>21</v>
      </c>
      <c r="Q86" s="2" t="s">
        <v>22</v>
      </c>
      <c r="R86" s="2" t="s">
        <v>23</v>
      </c>
      <c r="S86" s="2" t="s">
        <v>24</v>
      </c>
      <c r="T86" s="2" t="s">
        <v>25</v>
      </c>
      <c r="U86" s="2" t="s">
        <v>26</v>
      </c>
    </row>
    <row r="87" spans="1:32" ht="16.5" customHeight="1" x14ac:dyDescent="0.3">
      <c r="A87" s="3">
        <v>61</v>
      </c>
      <c r="B87" s="3" t="s">
        <v>145</v>
      </c>
      <c r="C87" s="4" t="s">
        <v>146</v>
      </c>
      <c r="D87" s="5">
        <v>2</v>
      </c>
      <c r="E87" s="3" t="s">
        <v>29</v>
      </c>
      <c r="F87" s="5">
        <v>0</v>
      </c>
      <c r="G87" s="4" t="s">
        <v>147</v>
      </c>
      <c r="H87" s="3" t="s">
        <v>133</v>
      </c>
      <c r="I87" s="3" t="s">
        <v>90</v>
      </c>
      <c r="J87" s="4" t="s">
        <v>91</v>
      </c>
      <c r="K87" s="9" t="s">
        <v>40</v>
      </c>
      <c r="M87" s="4" t="str">
        <f>IF(AND(ISNUMBER(D87),ISNUMBER(D88),ISNUMBER(D89),ISNUMBER(D90),ISNUMBER(D91),ISNUMBER(D92)),IF(AF87=1,W87,IF(AF88=1,W88,IF(AF89=1,W89,IF(AF90=1,W90,"")))),"")</f>
        <v>Portugal</v>
      </c>
      <c r="N87" s="3">
        <f>IF(AND(ISNUMBER(D87),ISNUMBER(D88),ISNUMBER(D89),ISNUMBER(D90),ISNUMBER(D91),ISNUMBER(D92)),IF(AF87=1,X87,IF(AF88=1,X88,IF(AF89=1,X89,IF(AF90=1,X90,"")))),"")</f>
        <v>3</v>
      </c>
      <c r="O87" s="3">
        <f>IF(AND(ISNUMBER(D87),ISNUMBER(D88),ISNUMBER(D89),ISNUMBER(D90),ISNUMBER(D91),ISNUMBER(D92)),IF(AF87=1,Y87,IF(AF88=1,Y88,IF(AF89=1,Y89,IF(AF90=1,Y90,"")))),"")</f>
        <v>2</v>
      </c>
      <c r="P87" s="3">
        <f>IF(AND(ISNUMBER(D87),ISNUMBER(D88),ISNUMBER(D89),ISNUMBER(D90),ISNUMBER(D91),ISNUMBER(D92)),IF(AF87=1,Z87,IF(AF88=1,Z88,IF(AF89=1,Z89,IF(AF90=1,Z90,"")))),"")</f>
        <v>1</v>
      </c>
      <c r="Q87" s="3">
        <f>IF(AND(ISNUMBER(D87),ISNUMBER(D88),ISNUMBER(D89),ISNUMBER(D90),ISNUMBER(D91),ISNUMBER(D92)),IF(AF87=1,AA87,IF(AF88=1,AA88,IF(AF89=1,AA89,IF(AF90=1,AA90,"")))),"")</f>
        <v>0</v>
      </c>
      <c r="R87" s="3">
        <f>IF(AND(ISNUMBER(D87),ISNUMBER(D88),ISNUMBER(D89),ISNUMBER(D90),ISNUMBER(D91),ISNUMBER(D92)),IF(AF87=1,AB87,IF(AF88=1,AB88,IF(AF89=1,AB89,IF(AF90=1,AB90,"")))),"")</f>
        <v>8</v>
      </c>
      <c r="S87" s="3">
        <f>IF(AND(ISNUMBER(D87),ISNUMBER(D88),ISNUMBER(D89),ISNUMBER(D90),ISNUMBER(D91),ISNUMBER(D92)),IF(AF87=1,AC87,IF(AF88=1,AC88,IF(AF89=1,AC89,IF(AF90=1,AC90,"")))),"")</f>
        <v>2</v>
      </c>
      <c r="T87" s="3">
        <f>IF(AND(ISNUMBER(D87),ISNUMBER(D88),ISNUMBER(D89),ISNUMBER(D90),ISNUMBER(D91),ISNUMBER(D92)),IF(AF87=1,AD87,IF(AF88=1,AD88,IF(AF89=1,AD89,IF(AF90=1,AD90,"")))),"")</f>
        <v>6</v>
      </c>
      <c r="U87" s="3">
        <f>IF(AND(ISNUMBER(D87),ISNUMBER(D88),ISNUMBER(D89),ISNUMBER(D90),ISNUMBER(D91),ISNUMBER(D92)),IF(AF87=1,AE87,IF(AF88=1,AE88,IF(AF89=1,AE89,IF(AF90=1,AE90,"")))),"")</f>
        <v>7</v>
      </c>
      <c r="W87" t="s">
        <v>146</v>
      </c>
      <c r="X87">
        <f>((C87="Portugal")*ISNUMBER(D87))+((G87="Portugal")*ISNUMBER(D87))+((C88="Portugal")*ISNUMBER(D88))+((G88="Portugal")*ISNUMBER(D88))+((C89="Portugal")*ISNUMBER(D89))+((G89="Portugal")*ISNUMBER(D89))+((C90="Portugal")*ISNUMBER(D90))+((G90="Portugal")*ISNUMBER(D90))+((C91="Portugal")*ISNUMBER(D91))+((G91="Portugal")*ISNUMBER(D91))+((C92="Portugal")*ISNUMBER(D92))+((G92="Portugal")*ISNUMBER(D92))</f>
        <v>3</v>
      </c>
      <c r="Y87">
        <f>((C87="Portugal")*ISNUMBER(D87)*(D87&gt;F87))+((G87="Portugal")*ISNUMBER(D87)*(F87&gt;D87))+((C88="Portugal")*ISNUMBER(D88)*(D88&gt;F88))+((G88="Portugal")*ISNUMBER(D88)*(F88&gt;D88))+((C89="Portugal")*ISNUMBER(D89)*(D89&gt;F89))+((G89="Portugal")*ISNUMBER(D89)*(F89&gt;D89))+((C90="Portugal")*ISNUMBER(D90)*(D90&gt;F90))+((G90="Portugal")*ISNUMBER(D90)*(F90&gt;D90))+((C91="Portugal")*ISNUMBER(D91)*(D91&gt;F91))+((G91="Portugal")*ISNUMBER(D91)*(F91&gt;D91))+((C92="Portugal")*ISNUMBER(D92)*(D92&gt;F92))+((G92="Portugal")*ISNUMBER(D92)*(F92&gt;D92))</f>
        <v>2</v>
      </c>
      <c r="Z87">
        <f>((C87="Portugal")*ISNUMBER(D87)*(D87=F87))+((G87="Portugal")*ISNUMBER(D87)*(F87=D87))+((C88="Portugal")*ISNUMBER(D88)*(D88=F88))+((G88="Portugal")*ISNUMBER(D88)*(F88=D88))+((C89="Portugal")*ISNUMBER(D89)*(D89=F89))+((G89="Portugal")*ISNUMBER(D89)*(F89=D89))+((C90="Portugal")*ISNUMBER(D90)*(D90=F90))+((G90="Portugal")*ISNUMBER(D90)*(F90=D90))+((C91="Portugal")*ISNUMBER(D91)*(D91=F91))+((G91="Portugal")*ISNUMBER(D91)*(F91=D91))+((C92="Portugal")*ISNUMBER(D92)*(D92=F92))+((G92="Portugal")*ISNUMBER(D92)*(F92=D92))</f>
        <v>1</v>
      </c>
      <c r="AA87">
        <f>((C87="Portugal")*ISNUMBER(D87)*(D87&lt;F87))+((G87="Portugal")*ISNUMBER(D87)*(F87&lt;D87))+((C88="Portugal")*ISNUMBER(D88)*(D88&lt;F88))+((G88="Portugal")*ISNUMBER(D88)*(F88&lt;D88))+((C89="Portugal")*ISNUMBER(D89)*(D89&lt;F89))+((G89="Portugal")*ISNUMBER(D89)*(F89&lt;D89))+((C90="Portugal")*ISNUMBER(D90)*(D90&lt;F90))+((G90="Portugal")*ISNUMBER(D90)*(F90&lt;D90))+((C91="Portugal")*ISNUMBER(D91)*(D91&lt;F91))+((G91="Portugal")*ISNUMBER(D91)*(F91&lt;D91))+((C92="Portugal")*ISNUMBER(D92)*(D92&lt;F92))+((G92="Portugal")*ISNUMBER(D92)*(F92&lt;D92))</f>
        <v>0</v>
      </c>
      <c r="AB87">
        <f>IF((C87="Portugal")*ISNUMBER(D87),D87,0)+IF((G87="Portugal")*ISNUMBER(D87),F87,0)+IF((C88="Portugal")*ISNUMBER(D88),D88,0)+IF((G88="Portugal")*ISNUMBER(D88),F88,0)+IF((C89="Portugal")*ISNUMBER(D89),D89,0)+IF((G89="Portugal")*ISNUMBER(D89),F89,0)+IF((C90="Portugal")*ISNUMBER(D90),D90,0)+IF((G90="Portugal")*ISNUMBER(D90),F90,0)+IF((C91="Portugal")*ISNUMBER(D91),D91,0)+IF((G91="Portugal")*ISNUMBER(D91),F91,0)+IF((C92="Portugal")*ISNUMBER(D92),D92,0)+IF((G92="Portugal")*ISNUMBER(D92),F92,0)</f>
        <v>8</v>
      </c>
      <c r="AC87">
        <f>IF((C87="Portugal")*ISNUMBER(D87),F87,0)+IF((G87="Portugal")*ISNUMBER(D87),D87,0)+IF((C88="Portugal")*ISNUMBER(D88),F88,0)+IF((G88="Portugal")*ISNUMBER(D88),D88,0)+IF((C89="Portugal")*ISNUMBER(D89),F89,0)+IF((G89="Portugal")*ISNUMBER(D89),D89,0)+IF((C90="Portugal")*ISNUMBER(D90),F90,0)+IF((G90="Portugal")*ISNUMBER(D90),D90,0)+IF((C91="Portugal")*ISNUMBER(D91),F91,0)+IF((G91="Portugal")*ISNUMBER(D91),D91,0)+IF((C92="Portugal")*ISNUMBER(D92),F92,0)+IF((G92="Portugal")*ISNUMBER(D92),D92,0)</f>
        <v>2</v>
      </c>
      <c r="AD87">
        <f>AB87-AC87</f>
        <v>6</v>
      </c>
      <c r="AE87">
        <f>3*Y87+Z87</f>
        <v>7</v>
      </c>
      <c r="AF87">
        <f>1+((AE88&gt;AE87)+(AE88=AE87)*(AD88&gt;AD87)+(AE88=AE87)*(AD88=AD87)*(AB88&gt;AB87)&gt;0)*1+((AE89&gt;AE87)+(AE89=AE87)*(AD89&gt;AD87)+(AE89=AE87)*(AD89=AD87)*(AB89&gt;AB87)&gt;0)*1+((AE90&gt;AE87)+(AE90=AE87)*(AD90&gt;AD87)+(AE90=AE87)*(AD90=AD87)*(AB90&gt;AB87)&gt;0)*1</f>
        <v>1</v>
      </c>
    </row>
    <row r="88" spans="1:32" ht="16.5" customHeight="1" x14ac:dyDescent="0.3">
      <c r="A88" s="7">
        <v>62</v>
      </c>
      <c r="B88" s="7" t="s">
        <v>145</v>
      </c>
      <c r="C88" s="8" t="s">
        <v>148</v>
      </c>
      <c r="D88" s="5">
        <v>0</v>
      </c>
      <c r="E88" s="7" t="s">
        <v>29</v>
      </c>
      <c r="F88" s="5">
        <v>4</v>
      </c>
      <c r="G88" s="8" t="s">
        <v>149</v>
      </c>
      <c r="H88" s="7" t="s">
        <v>41</v>
      </c>
      <c r="I88" s="7" t="s">
        <v>38</v>
      </c>
      <c r="J88" s="8" t="s">
        <v>33</v>
      </c>
      <c r="K88" s="6" t="s">
        <v>34</v>
      </c>
      <c r="M88" s="4" t="str">
        <f>IF(AND(ISNUMBER(D87),ISNUMBER(D88),ISNUMBER(D89),ISNUMBER(D90),ISNUMBER(D91),ISNUMBER(D92)),IF(AF87=2,W87,IF(AF88=2,W88,IF(AF89=2,W89,IF(AF90=2,W90,"")))),"")</f>
        <v>Colombia</v>
      </c>
      <c r="N88" s="3">
        <f>IF(AND(ISNUMBER(D87),ISNUMBER(D88),ISNUMBER(D89),ISNUMBER(D90),ISNUMBER(D91),ISNUMBER(D92)),IF(AF87=2,X87,IF(AF88=2,X88,IF(AF89=2,X89,IF(AF90=2,X90,"")))),"")</f>
        <v>3</v>
      </c>
      <c r="O88" s="3">
        <f>IF(AND(ISNUMBER(D87),ISNUMBER(D88),ISNUMBER(D89),ISNUMBER(D90),ISNUMBER(D91),ISNUMBER(D92)),IF(AF87=2,Y87,IF(AF88=2,Y88,IF(AF89=2,Y89,IF(AF90=2,Y90,"")))),"")</f>
        <v>2</v>
      </c>
      <c r="P88" s="3">
        <f>IF(AND(ISNUMBER(D87),ISNUMBER(D88),ISNUMBER(D89),ISNUMBER(D90),ISNUMBER(D91),ISNUMBER(D92)),IF(AF87=2,Z87,IF(AF88=2,Z88,IF(AF89=2,Z89,IF(AF90=2,Z90,"")))),"")</f>
        <v>1</v>
      </c>
      <c r="Q88" s="3">
        <f>IF(AND(ISNUMBER(D87),ISNUMBER(D88),ISNUMBER(D89),ISNUMBER(D90),ISNUMBER(D91),ISNUMBER(D92)),IF(AF87=2,AA87,IF(AF88=2,AA88,IF(AF89=2,AA89,IF(AF90=2,AA90,"")))),"")</f>
        <v>0</v>
      </c>
      <c r="R88" s="3">
        <f>IF(AND(ISNUMBER(D87),ISNUMBER(D88),ISNUMBER(D89),ISNUMBER(D90),ISNUMBER(D91),ISNUMBER(D92)),IF(AF87=2,AB87,IF(AF88=2,AB88,IF(AF89=2,AB89,IF(AF90=2,AB90,"")))),"")</f>
        <v>8</v>
      </c>
      <c r="S88" s="3">
        <f>IF(AND(ISNUMBER(D87),ISNUMBER(D88),ISNUMBER(D89),ISNUMBER(D90),ISNUMBER(D91),ISNUMBER(D92)),IF(AF87=2,AC87,IF(AF88=2,AC88,IF(AF89=2,AC89,IF(AF90=2,AC90,"")))),"")</f>
        <v>3</v>
      </c>
      <c r="T88" s="3">
        <f>IF(AND(ISNUMBER(D87),ISNUMBER(D88),ISNUMBER(D89),ISNUMBER(D90),ISNUMBER(D91),ISNUMBER(D92)),IF(AF87=2,AD87,IF(AF88=2,AD88,IF(AF89=2,AD89,IF(AF90=2,AD90,"")))),"")</f>
        <v>5</v>
      </c>
      <c r="U88" s="3">
        <f>IF(AND(ISNUMBER(D87),ISNUMBER(D88),ISNUMBER(D89),ISNUMBER(D90),ISNUMBER(D91),ISNUMBER(D92)),IF(AF87=2,AE87,IF(AF88=2,AE88,IF(AF89=2,AE89,IF(AF90=2,AE90,"")))),"")</f>
        <v>7</v>
      </c>
      <c r="W88" t="s">
        <v>147</v>
      </c>
      <c r="X88">
        <f>((C87="DR Kongo")*ISNUMBER(D87))+((G87="DR Kongo")*ISNUMBER(D87))+((C88="DR Kongo")*ISNUMBER(D88))+((G88="DR Kongo")*ISNUMBER(D88))+((C89="DR Kongo")*ISNUMBER(D89))+((G89="DR Kongo")*ISNUMBER(D89))+((C90="DR Kongo")*ISNUMBER(D90))+((G90="DR Kongo")*ISNUMBER(D90))+((C91="DR Kongo")*ISNUMBER(D91))+((G91="DR Kongo")*ISNUMBER(D91))+((C92="DR Kongo")*ISNUMBER(D92))+((G92="DR Kongo")*ISNUMBER(D92))</f>
        <v>3</v>
      </c>
      <c r="Y88">
        <f>((C87="DR Kongo")*ISNUMBER(D87)*(D87&gt;F87))+((G87="DR Kongo")*ISNUMBER(D87)*(F87&gt;D87))+((C88="DR Kongo")*ISNUMBER(D88)*(D88&gt;F88))+((G88="DR Kongo")*ISNUMBER(D88)*(F88&gt;D88))+((C89="DR Kongo")*ISNUMBER(D89)*(D89&gt;F89))+((G89="DR Kongo")*ISNUMBER(D89)*(F89&gt;D89))+((C90="DR Kongo")*ISNUMBER(D90)*(D90&gt;F90))+((G90="DR Kongo")*ISNUMBER(D90)*(F90&gt;D90))+((C91="DR Kongo")*ISNUMBER(D91)*(D91&gt;F91))+((G91="DR Kongo")*ISNUMBER(D91)*(F91&gt;D91))+((C92="DR Kongo")*ISNUMBER(D92)*(D92&gt;F92))+((G92="DR Kongo")*ISNUMBER(D92)*(F92&gt;D92))</f>
        <v>1</v>
      </c>
      <c r="Z88">
        <f>((C87="DR Kongo")*ISNUMBER(D87)*(D87=F87))+((G87="DR Kongo")*ISNUMBER(D87)*(F87=D87))+((C88="DR Kongo")*ISNUMBER(D88)*(D88=F88))+((G88="DR Kongo")*ISNUMBER(D88)*(F88=D88))+((C89="DR Kongo")*ISNUMBER(D89)*(D89=F89))+((G89="DR Kongo")*ISNUMBER(D89)*(F89=D89))+((C90="DR Kongo")*ISNUMBER(D90)*(D90=F90))+((G90="DR Kongo")*ISNUMBER(D90)*(F90=D90))+((C91="DR Kongo")*ISNUMBER(D91)*(D91=F91))+((G91="DR Kongo")*ISNUMBER(D91)*(F91=D91))+((C92="DR Kongo")*ISNUMBER(D92)*(D92=F92))+((G92="DR Kongo")*ISNUMBER(D92)*(F92=D92))</f>
        <v>0</v>
      </c>
      <c r="AA88">
        <f>((C87="DR Kongo")*ISNUMBER(D87)*(D87&lt;F87))+((G87="DR Kongo")*ISNUMBER(D87)*(F87&lt;D87))+((C88="DR Kongo")*ISNUMBER(D88)*(D88&lt;F88))+((G88="DR Kongo")*ISNUMBER(D88)*(F88&lt;D88))+((C89="DR Kongo")*ISNUMBER(D89)*(D89&lt;F89))+((G89="DR Kongo")*ISNUMBER(D89)*(F89&lt;D89))+((C90="DR Kongo")*ISNUMBER(D90)*(D90&lt;F90))+((G90="DR Kongo")*ISNUMBER(D90)*(F90&lt;D90))+((C91="DR Kongo")*ISNUMBER(D91)*(D91&lt;F91))+((G91="DR Kongo")*ISNUMBER(D91)*(F91&lt;D91))+((C92="DR Kongo")*ISNUMBER(D92)*(D92&lt;F92))+((G92="DR Kongo")*ISNUMBER(D92)*(F92&lt;D92))</f>
        <v>2</v>
      </c>
      <c r="AB88">
        <f>IF((C87="DR Kongo")*ISNUMBER(D87),D87,0)+IF((G87="DR Kongo")*ISNUMBER(D87),F87,0)+IF((C88="DR Kongo")*ISNUMBER(D88),D88,0)+IF((G88="DR Kongo")*ISNUMBER(D88),F88,0)+IF((C89="DR Kongo")*ISNUMBER(D89),D89,0)+IF((G89="DR Kongo")*ISNUMBER(D89),F89,0)+IF((C90="DR Kongo")*ISNUMBER(D90),D90,0)+IF((G90="DR Kongo")*ISNUMBER(D90),F90,0)+IF((C91="DR Kongo")*ISNUMBER(D91),D91,0)+IF((G91="DR Kongo")*ISNUMBER(D91),F91,0)+IF((C92="DR Kongo")*ISNUMBER(D92),D92,0)+IF((G92="DR Kongo")*ISNUMBER(D92),F92,0)</f>
        <v>3</v>
      </c>
      <c r="AC88">
        <f>IF((C87="DR Kongo")*ISNUMBER(D87),F87,0)+IF((G87="DR Kongo")*ISNUMBER(D87),D87,0)+IF((C88="DR Kongo")*ISNUMBER(D88),F88,0)+IF((G88="DR Kongo")*ISNUMBER(D88),D88,0)+IF((C89="DR Kongo")*ISNUMBER(D89),F89,0)+IF((G89="DR Kongo")*ISNUMBER(D89),D89,0)+IF((C90="DR Kongo")*ISNUMBER(D90),F90,0)+IF((G90="DR Kongo")*ISNUMBER(D90),D90,0)+IF((C91="DR Kongo")*ISNUMBER(D91),F91,0)+IF((G91="DR Kongo")*ISNUMBER(D91),D91,0)+IF((C92="DR Kongo")*ISNUMBER(D92),F92,0)+IF((G92="DR Kongo")*ISNUMBER(D92),D92,0)</f>
        <v>5</v>
      </c>
      <c r="AD88">
        <f>AB88-AC88</f>
        <v>-2</v>
      </c>
      <c r="AE88">
        <f>3*Y88+Z88</f>
        <v>3</v>
      </c>
      <c r="AF88">
        <f>1+((AE87&gt;AE88)+(AE87=AE88)*(AD87&gt;AD88)+(AE87=AE88)*(AD87=AD88)*(AB87&gt;AB88)&gt;0)*1+((AE89&gt;AE88)+(AE89=AE88)*(AD89&gt;AD88)+(AE89=AE88)*(AD89=AD88)*(AB89&gt;AB88)&gt;0)*1+((AE90&gt;AE88)+(AE90=AE88)*(AD90&gt;AD88)+(AE90=AE88)*(AD90=AD88)*(AB90&gt;AB88)&gt;0)*1</f>
        <v>3</v>
      </c>
    </row>
    <row r="89" spans="1:32" ht="16.5" customHeight="1" x14ac:dyDescent="0.3">
      <c r="A89" s="3">
        <v>63</v>
      </c>
      <c r="B89" s="3" t="s">
        <v>145</v>
      </c>
      <c r="C89" s="4" t="s">
        <v>146</v>
      </c>
      <c r="D89" s="5">
        <v>4</v>
      </c>
      <c r="E89" s="3" t="s">
        <v>29</v>
      </c>
      <c r="F89" s="5">
        <v>0</v>
      </c>
      <c r="G89" s="4" t="s">
        <v>148</v>
      </c>
      <c r="H89" s="3" t="s">
        <v>135</v>
      </c>
      <c r="I89" s="3" t="s">
        <v>90</v>
      </c>
      <c r="J89" s="4" t="s">
        <v>91</v>
      </c>
      <c r="K89" s="6" t="s">
        <v>34</v>
      </c>
      <c r="M89" s="4" t="str">
        <f>IF(AND(ISNUMBER(D87),ISNUMBER(D88),ISNUMBER(D89),ISNUMBER(D90),ISNUMBER(D91),ISNUMBER(D92)),IF(AF87=3,W87,IF(AF88=3,W88,IF(AF89=3,W89,IF(AF90=3,W90,"")))),"")</f>
        <v>DR Kongo</v>
      </c>
      <c r="N89" s="3">
        <f>IF(AND(ISNUMBER(D87),ISNUMBER(D88),ISNUMBER(D89),ISNUMBER(D90),ISNUMBER(D91),ISNUMBER(D92)),IF(AF87=3,X87,IF(AF88=3,X88,IF(AF89=3,X89,IF(AF90=3,X90,"")))),"")</f>
        <v>3</v>
      </c>
      <c r="O89" s="3">
        <f>IF(AND(ISNUMBER(D87),ISNUMBER(D88),ISNUMBER(D89),ISNUMBER(D90),ISNUMBER(D91),ISNUMBER(D92)),IF(AF87=3,Y87,IF(AF88=3,Y88,IF(AF89=3,Y89,IF(AF90=3,Y90,"")))),"")</f>
        <v>1</v>
      </c>
      <c r="P89" s="3">
        <f>IF(AND(ISNUMBER(D87),ISNUMBER(D88),ISNUMBER(D89),ISNUMBER(D90),ISNUMBER(D91),ISNUMBER(D92)),IF(AF87=3,Z87,IF(AF88=3,Z88,IF(AF89=3,Z89,IF(AF90=3,Z90,"")))),"")</f>
        <v>0</v>
      </c>
      <c r="Q89" s="3">
        <f>IF(AND(ISNUMBER(D87),ISNUMBER(D88),ISNUMBER(D89),ISNUMBER(D90),ISNUMBER(D91),ISNUMBER(D92)),IF(AF87=3,AA87,IF(AF88=3,AA88,IF(AF89=3,AA89,IF(AF90=3,AA90,"")))),"")</f>
        <v>2</v>
      </c>
      <c r="R89" s="3">
        <f>IF(AND(ISNUMBER(D87),ISNUMBER(D88),ISNUMBER(D89),ISNUMBER(D90),ISNUMBER(D91),ISNUMBER(D92)),IF(AF87=3,AB87,IF(AF88=3,AB88,IF(AF89=3,AB89,IF(AF90=3,AB90,"")))),"")</f>
        <v>3</v>
      </c>
      <c r="S89" s="3">
        <f>IF(AND(ISNUMBER(D87),ISNUMBER(D88),ISNUMBER(D89),ISNUMBER(D90),ISNUMBER(D91),ISNUMBER(D92)),IF(AF87=3,AC87,IF(AF88=3,AC88,IF(AF89=3,AC89,IF(AF90=3,AC90,"")))),"")</f>
        <v>5</v>
      </c>
      <c r="T89" s="3">
        <f>IF(AND(ISNUMBER(D87),ISNUMBER(D88),ISNUMBER(D89),ISNUMBER(D90),ISNUMBER(D91),ISNUMBER(D92)),IF(AF87=3,AD87,IF(AF88=3,AD88,IF(AF89=3,AD89,IF(AF90=3,AD90,"")))),"")</f>
        <v>-2</v>
      </c>
      <c r="U89" s="3">
        <f>IF(AND(ISNUMBER(D87),ISNUMBER(D88),ISNUMBER(D89),ISNUMBER(D90),ISNUMBER(D91),ISNUMBER(D92)),IF(AF87=3,AE87,IF(AF88=3,AE88,IF(AF89=3,AE89,IF(AF90=3,AE90,"")))),"")</f>
        <v>3</v>
      </c>
      <c r="W89" t="s">
        <v>148</v>
      </c>
      <c r="X89">
        <f>((C87="Usbekistan")*ISNUMBER(D87))+((G87="Usbekistan")*ISNUMBER(D87))+((C88="Usbekistan")*ISNUMBER(D88))+((G88="Usbekistan")*ISNUMBER(D88))+((C89="Usbekistan")*ISNUMBER(D89))+((G89="Usbekistan")*ISNUMBER(D89))+((C90="Usbekistan")*ISNUMBER(D90))+((G90="Usbekistan")*ISNUMBER(D90))+((C91="Usbekistan")*ISNUMBER(D91))+((G91="Usbekistan")*ISNUMBER(D91))+((C92="Usbekistan")*ISNUMBER(D92))+((G92="Usbekistan")*ISNUMBER(D92))</f>
        <v>3</v>
      </c>
      <c r="Y89">
        <f>((C87="Usbekistan")*ISNUMBER(D87)*(D87&gt;F87))+((G87="Usbekistan")*ISNUMBER(D87)*(F87&gt;D87))+((C88="Usbekistan")*ISNUMBER(D88)*(D88&gt;F88))+((G88="Usbekistan")*ISNUMBER(D88)*(F88&gt;D88))+((C89="Usbekistan")*ISNUMBER(D89)*(D89&gt;F89))+((G89="Usbekistan")*ISNUMBER(D89)*(F89&gt;D89))+((C90="Usbekistan")*ISNUMBER(D90)*(D90&gt;F90))+((G90="Usbekistan")*ISNUMBER(D90)*(F90&gt;D90))+((C91="Usbekistan")*ISNUMBER(D91)*(D91&gt;F91))+((G91="Usbekistan")*ISNUMBER(D91)*(F91&gt;D91))+((C92="Usbekistan")*ISNUMBER(D92)*(D92&gt;F92))+((G92="Usbekistan")*ISNUMBER(D92)*(F92&gt;D92))</f>
        <v>0</v>
      </c>
      <c r="Z89">
        <f>((C87="Usbekistan")*ISNUMBER(D87)*(D87=F87))+((G87="Usbekistan")*ISNUMBER(D87)*(F87=D87))+((C88="Usbekistan")*ISNUMBER(D88)*(D88=F88))+((G88="Usbekistan")*ISNUMBER(D88)*(F88=D88))+((C89="Usbekistan")*ISNUMBER(D89)*(D89=F89))+((G89="Usbekistan")*ISNUMBER(D89)*(F89=D89))+((C90="Usbekistan")*ISNUMBER(D90)*(D90=F90))+((G90="Usbekistan")*ISNUMBER(D90)*(F90=D90))+((C91="Usbekistan")*ISNUMBER(D91)*(D91=F91))+((G91="Usbekistan")*ISNUMBER(D91)*(F91=D91))+((C92="Usbekistan")*ISNUMBER(D92)*(D92=F92))+((G92="Usbekistan")*ISNUMBER(D92)*(F92=D92))</f>
        <v>0</v>
      </c>
      <c r="AA89">
        <f>((C87="Usbekistan")*ISNUMBER(D87)*(D87&lt;F87))+((G87="Usbekistan")*ISNUMBER(D87)*(F87&lt;D87))+((C88="Usbekistan")*ISNUMBER(D88)*(D88&lt;F88))+((G88="Usbekistan")*ISNUMBER(D88)*(F88&lt;D88))+((C89="Usbekistan")*ISNUMBER(D89)*(D89&lt;F89))+((G89="Usbekistan")*ISNUMBER(D89)*(F89&lt;D89))+((C90="Usbekistan")*ISNUMBER(D90)*(D90&lt;F90))+((G90="Usbekistan")*ISNUMBER(D90)*(F90&lt;D90))+((C91="Usbekistan")*ISNUMBER(D91)*(D91&lt;F91))+((G91="Usbekistan")*ISNUMBER(D91)*(F91&lt;D91))+((C92="Usbekistan")*ISNUMBER(D92)*(D92&lt;F92))+((G92="Usbekistan")*ISNUMBER(D92)*(F92&lt;D92))</f>
        <v>3</v>
      </c>
      <c r="AB89">
        <f>IF((C87="Usbekistan")*ISNUMBER(D87),D87,0)+IF((G87="Usbekistan")*ISNUMBER(D87),F87,0)+IF((C88="Usbekistan")*ISNUMBER(D88),D88,0)+IF((G88="Usbekistan")*ISNUMBER(D88),F88,0)+IF((C89="Usbekistan")*ISNUMBER(D89),D89,0)+IF((G89="Usbekistan")*ISNUMBER(D89),F89,0)+IF((C90="Usbekistan")*ISNUMBER(D90),D90,0)+IF((G90="Usbekistan")*ISNUMBER(D90),F90,0)+IF((C91="Usbekistan")*ISNUMBER(D91),D91,0)+IF((G91="Usbekistan")*ISNUMBER(D91),F91,0)+IF((C92="Usbekistan")*ISNUMBER(D92),D92,0)+IF((G92="Usbekistan")*ISNUMBER(D92),F92,0)</f>
        <v>1</v>
      </c>
      <c r="AC89">
        <f>IF((C87="Usbekistan")*ISNUMBER(D87),F87,0)+IF((G87="Usbekistan")*ISNUMBER(D87),D87,0)+IF((C88="Usbekistan")*ISNUMBER(D88),F88,0)+IF((G88="Usbekistan")*ISNUMBER(D88),D88,0)+IF((C89="Usbekistan")*ISNUMBER(D89),F89,0)+IF((G89="Usbekistan")*ISNUMBER(D89),D89,0)+IF((C90="Usbekistan")*ISNUMBER(D90),F90,0)+IF((G90="Usbekistan")*ISNUMBER(D90),D90,0)+IF((C91="Usbekistan")*ISNUMBER(D91),F91,0)+IF((G91="Usbekistan")*ISNUMBER(D91),D91,0)+IF((C92="Usbekistan")*ISNUMBER(D92),F92,0)+IF((G92="Usbekistan")*ISNUMBER(D92),D92,0)</f>
        <v>10</v>
      </c>
      <c r="AD89">
        <f>AB89-AC89</f>
        <v>-9</v>
      </c>
      <c r="AE89">
        <f>3*Y89+Z89</f>
        <v>0</v>
      </c>
      <c r="AF89">
        <f>1+((AE87&gt;AE89)+(AE87=AE89)*(AD87&gt;AD89)+(AE87=AE89)*(AD87=AD89)*(AB87&gt;AB89)&gt;0)*1+((AE88&gt;AE89)+(AE88=AE89)*(AD88&gt;AD89)+(AE88=AE89)*(AD88=AD89)*(AB88&gt;AB89)&gt;0)*1+((AE90&gt;AE89)+(AE90=AE89)*(AD90&gt;AD89)+(AE90=AE89)*(AD90=AD89)*(AB90&gt;AB89)&gt;0)*1</f>
        <v>4</v>
      </c>
    </row>
    <row r="90" spans="1:32" ht="16.5" customHeight="1" x14ac:dyDescent="0.3">
      <c r="A90" s="7">
        <v>64</v>
      </c>
      <c r="B90" s="7" t="s">
        <v>145</v>
      </c>
      <c r="C90" s="8" t="s">
        <v>149</v>
      </c>
      <c r="D90" s="5">
        <v>2</v>
      </c>
      <c r="E90" s="7" t="s">
        <v>29</v>
      </c>
      <c r="F90" s="5">
        <v>1</v>
      </c>
      <c r="G90" s="8" t="s">
        <v>147</v>
      </c>
      <c r="H90" s="7" t="s">
        <v>61</v>
      </c>
      <c r="I90" s="7" t="s">
        <v>38</v>
      </c>
      <c r="J90" s="8" t="s">
        <v>39</v>
      </c>
      <c r="K90" s="6" t="s">
        <v>34</v>
      </c>
      <c r="M90" s="4" t="str">
        <f>IF(AND(ISNUMBER(D87),ISNUMBER(D88),ISNUMBER(D89),ISNUMBER(D90),ISNUMBER(D91),ISNUMBER(D92)),IF(AF87=4,W87,IF(AF88=4,W88,IF(AF89=4,W89,IF(AF90=4,W90,"")))),"")</f>
        <v>Usbekistan</v>
      </c>
      <c r="N90" s="3">
        <f>IF(AND(ISNUMBER(D87),ISNUMBER(D88),ISNUMBER(D89),ISNUMBER(D90),ISNUMBER(D91),ISNUMBER(D92)),IF(AF87=4,X87,IF(AF88=4,X88,IF(AF89=4,X89,IF(AF90=4,X90,"")))),"")</f>
        <v>3</v>
      </c>
      <c r="O90" s="3">
        <f>IF(AND(ISNUMBER(D87),ISNUMBER(D88),ISNUMBER(D89),ISNUMBER(D90),ISNUMBER(D91),ISNUMBER(D92)),IF(AF87=4,Y87,IF(AF88=4,Y88,IF(AF89=4,Y89,IF(AF90=4,Y90,"")))),"")</f>
        <v>0</v>
      </c>
      <c r="P90" s="3">
        <f>IF(AND(ISNUMBER(D87),ISNUMBER(D88),ISNUMBER(D89),ISNUMBER(D90),ISNUMBER(D91),ISNUMBER(D92)),IF(AF87=4,Z87,IF(AF88=4,Z88,IF(AF89=4,Z89,IF(AF90=4,Z90,"")))),"")</f>
        <v>0</v>
      </c>
      <c r="Q90" s="3">
        <f>IF(AND(ISNUMBER(D87),ISNUMBER(D88),ISNUMBER(D89),ISNUMBER(D90),ISNUMBER(D91),ISNUMBER(D92)),IF(AF87=4,AA87,IF(AF88=4,AA88,IF(AF89=4,AA89,IF(AF90=4,AA90,"")))),"")</f>
        <v>3</v>
      </c>
      <c r="R90" s="3">
        <f>IF(AND(ISNUMBER(D87),ISNUMBER(D88),ISNUMBER(D89),ISNUMBER(D90),ISNUMBER(D91),ISNUMBER(D92)),IF(AF87=4,AB87,IF(AF88=4,AB88,IF(AF89=4,AB89,IF(AF90=4,AB90,"")))),"")</f>
        <v>1</v>
      </c>
      <c r="S90" s="3">
        <f>IF(AND(ISNUMBER(D87),ISNUMBER(D88),ISNUMBER(D89),ISNUMBER(D90),ISNUMBER(D91),ISNUMBER(D92)),IF(AF87=4,AC87,IF(AF88=4,AC88,IF(AF89=4,AC89,IF(AF90=4,AC90,"")))),"")</f>
        <v>10</v>
      </c>
      <c r="T90" s="3">
        <f>IF(AND(ISNUMBER(D87),ISNUMBER(D88),ISNUMBER(D89),ISNUMBER(D90),ISNUMBER(D91),ISNUMBER(D92)),IF(AF87=4,AD87,IF(AF88=4,AD88,IF(AF89=4,AD89,IF(AF90=4,AD90,"")))),"")</f>
        <v>-9</v>
      </c>
      <c r="U90" s="3">
        <f>IF(AND(ISNUMBER(D87),ISNUMBER(D88),ISNUMBER(D89),ISNUMBER(D90),ISNUMBER(D91),ISNUMBER(D92)),IF(AF87=4,AE87,IF(AF88=4,AE88,IF(AF89=4,AE89,IF(AF90=4,AE90,"")))),"")</f>
        <v>0</v>
      </c>
      <c r="W90" t="s">
        <v>149</v>
      </c>
      <c r="X90">
        <f>((C87="Colombia")*ISNUMBER(D87))+((G87="Colombia")*ISNUMBER(D87))+((C88="Colombia")*ISNUMBER(D88))+((G88="Colombia")*ISNUMBER(D88))+((C89="Colombia")*ISNUMBER(D89))+((G89="Colombia")*ISNUMBER(D89))+((C90="Colombia")*ISNUMBER(D90))+((G90="Colombia")*ISNUMBER(D90))+((C91="Colombia")*ISNUMBER(D91))+((G91="Colombia")*ISNUMBER(D91))+((C92="Colombia")*ISNUMBER(D92))+((G92="Colombia")*ISNUMBER(D92))</f>
        <v>3</v>
      </c>
      <c r="Y90">
        <f>((C87="Colombia")*ISNUMBER(D87)*(D87&gt;F87))+((G87="Colombia")*ISNUMBER(D87)*(F87&gt;D87))+((C88="Colombia")*ISNUMBER(D88)*(D88&gt;F88))+((G88="Colombia")*ISNUMBER(D88)*(F88&gt;D88))+((C89="Colombia")*ISNUMBER(D89)*(D89&gt;F89))+((G89="Colombia")*ISNUMBER(D89)*(F89&gt;D89))+((C90="Colombia")*ISNUMBER(D90)*(D90&gt;F90))+((G90="Colombia")*ISNUMBER(D90)*(F90&gt;D90))+((C91="Colombia")*ISNUMBER(D91)*(D91&gt;F91))+((G91="Colombia")*ISNUMBER(D91)*(F91&gt;D91))+((C92="Colombia")*ISNUMBER(D92)*(D92&gt;F92))+((G92="Colombia")*ISNUMBER(D92)*(F92&gt;D92))</f>
        <v>2</v>
      </c>
      <c r="Z90">
        <f>((C87="Colombia")*ISNUMBER(D87)*(D87=F87))+((G87="Colombia")*ISNUMBER(D87)*(F87=D87))+((C88="Colombia")*ISNUMBER(D88)*(D88=F88))+((G88="Colombia")*ISNUMBER(D88)*(F88=D88))+((C89="Colombia")*ISNUMBER(D89)*(D89=F89))+((G89="Colombia")*ISNUMBER(D89)*(F89=D89))+((C90="Colombia")*ISNUMBER(D90)*(D90=F90))+((G90="Colombia")*ISNUMBER(D90)*(F90=D90))+((C91="Colombia")*ISNUMBER(D91)*(D91=F91))+((G91="Colombia")*ISNUMBER(D91)*(F91=D91))+((C92="Colombia")*ISNUMBER(D92)*(D92=F92))+((G92="Colombia")*ISNUMBER(D92)*(F92=D92))</f>
        <v>1</v>
      </c>
      <c r="AA90">
        <f>((C87="Colombia")*ISNUMBER(D87)*(D87&lt;F87))+((G87="Colombia")*ISNUMBER(D87)*(F87&lt;D87))+((C88="Colombia")*ISNUMBER(D88)*(D88&lt;F88))+((G88="Colombia")*ISNUMBER(D88)*(F88&lt;D88))+((C89="Colombia")*ISNUMBER(D89)*(D89&lt;F89))+((G89="Colombia")*ISNUMBER(D89)*(F89&lt;D89))+((C90="Colombia")*ISNUMBER(D90)*(D90&lt;F90))+((G90="Colombia")*ISNUMBER(D90)*(F90&lt;D90))+((C91="Colombia")*ISNUMBER(D91)*(D91&lt;F91))+((G91="Colombia")*ISNUMBER(D91)*(F91&lt;D91))+((C92="Colombia")*ISNUMBER(D92)*(D92&lt;F92))+((G92="Colombia")*ISNUMBER(D92)*(F92&lt;D92))</f>
        <v>0</v>
      </c>
      <c r="AB90">
        <f>IF((C87="Colombia")*ISNUMBER(D87),D87,0)+IF((G87="Colombia")*ISNUMBER(D87),F87,0)+IF((C88="Colombia")*ISNUMBER(D88),D88,0)+IF((G88="Colombia")*ISNUMBER(D88),F88,0)+IF((C89="Colombia")*ISNUMBER(D89),D89,0)+IF((G89="Colombia")*ISNUMBER(D89),F89,0)+IF((C90="Colombia")*ISNUMBER(D90),D90,0)+IF((G90="Colombia")*ISNUMBER(D90),F90,0)+IF((C91="Colombia")*ISNUMBER(D91),D91,0)+IF((G91="Colombia")*ISNUMBER(D91),F91,0)+IF((C92="Colombia")*ISNUMBER(D92),D92,0)+IF((G92="Colombia")*ISNUMBER(D92),F92,0)</f>
        <v>8</v>
      </c>
      <c r="AC90">
        <f>IF((C87="Colombia")*ISNUMBER(D87),F87,0)+IF((G87="Colombia")*ISNUMBER(D87),D87,0)+IF((C88="Colombia")*ISNUMBER(D88),F88,0)+IF((G88="Colombia")*ISNUMBER(D88),D88,0)+IF((C89="Colombia")*ISNUMBER(D89),F89,0)+IF((G89="Colombia")*ISNUMBER(D89),D89,0)+IF((C90="Colombia")*ISNUMBER(D90),F90,0)+IF((G90="Colombia")*ISNUMBER(D90),D90,0)+IF((C91="Colombia")*ISNUMBER(D91),F91,0)+IF((G91="Colombia")*ISNUMBER(D91),D91,0)+IF((C92="Colombia")*ISNUMBER(D92),F92,0)+IF((G92="Colombia")*ISNUMBER(D92),D92,0)</f>
        <v>3</v>
      </c>
      <c r="AD90">
        <f>AB90-AC90</f>
        <v>5</v>
      </c>
      <c r="AE90">
        <f>3*Y90+Z90</f>
        <v>7</v>
      </c>
      <c r="AF90">
        <f>1+((AE87&gt;AE90)+(AE87=AE90)*(AD87&gt;AD90)+(AE87=AE90)*(AD87=AD90)*(AB87&gt;AB90)&gt;0)*1+((AE88&gt;AE90)+(AE88=AE90)*(AD88&gt;AD90)+(AE88=AE90)*(AD88=AD90)*(AB88&gt;AB90)&gt;0)*1+((AE89&gt;AE90)+(AE89=AE90)*(AD89&gt;AD90)+(AE89=AE90)*(AD89=AD90)*(AB89&gt;AB90)&gt;0)*1</f>
        <v>2</v>
      </c>
    </row>
    <row r="91" spans="1:32" ht="16.5" customHeight="1" x14ac:dyDescent="0.3">
      <c r="A91" s="3">
        <v>65</v>
      </c>
      <c r="B91" s="3" t="s">
        <v>145</v>
      </c>
      <c r="C91" s="4" t="s">
        <v>149</v>
      </c>
      <c r="D91" s="5">
        <v>2</v>
      </c>
      <c r="E91" s="3" t="s">
        <v>29</v>
      </c>
      <c r="F91" s="5">
        <v>2</v>
      </c>
      <c r="G91" s="4" t="s">
        <v>146</v>
      </c>
      <c r="H91" s="3" t="s">
        <v>117</v>
      </c>
      <c r="I91" s="3" t="s">
        <v>150</v>
      </c>
      <c r="J91" s="4" t="s">
        <v>75</v>
      </c>
      <c r="K91" s="9" t="s">
        <v>40</v>
      </c>
    </row>
    <row r="92" spans="1:32" ht="16.5" customHeight="1" x14ac:dyDescent="0.3">
      <c r="A92" s="7">
        <v>66</v>
      </c>
      <c r="B92" s="7" t="s">
        <v>145</v>
      </c>
      <c r="C92" s="8" t="s">
        <v>147</v>
      </c>
      <c r="D92" s="5">
        <v>2</v>
      </c>
      <c r="E92" s="7" t="s">
        <v>29</v>
      </c>
      <c r="F92" s="5">
        <v>1</v>
      </c>
      <c r="G92" s="8" t="s">
        <v>148</v>
      </c>
      <c r="H92" s="7" t="s">
        <v>117</v>
      </c>
      <c r="I92" s="7" t="s">
        <v>150</v>
      </c>
      <c r="J92" s="8" t="s">
        <v>43</v>
      </c>
      <c r="K92" s="9" t="s">
        <v>40</v>
      </c>
    </row>
    <row r="93" spans="1:32" ht="18.75" customHeight="1" x14ac:dyDescent="0.3">
      <c r="A93" s="56" t="s">
        <v>151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M93" s="57" t="s">
        <v>152</v>
      </c>
      <c r="N93" s="57"/>
      <c r="O93" s="57"/>
      <c r="P93" s="57"/>
      <c r="Q93" s="57"/>
      <c r="R93" s="57"/>
      <c r="S93" s="57"/>
      <c r="T93" s="57"/>
      <c r="U93" s="57"/>
    </row>
    <row r="94" spans="1:32" ht="15.75" customHeight="1" x14ac:dyDescent="0.3">
      <c r="A94" s="1" t="s">
        <v>8</v>
      </c>
      <c r="B94" s="1" t="s">
        <v>9</v>
      </c>
      <c r="C94" s="1" t="s">
        <v>10</v>
      </c>
      <c r="D94" s="1" t="s">
        <v>11</v>
      </c>
      <c r="E94" s="1"/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17</v>
      </c>
      <c r="M94" s="2" t="s">
        <v>18</v>
      </c>
      <c r="N94" s="2" t="s">
        <v>19</v>
      </c>
      <c r="O94" s="2" t="s">
        <v>20</v>
      </c>
      <c r="P94" s="2" t="s">
        <v>21</v>
      </c>
      <c r="Q94" s="2" t="s">
        <v>22</v>
      </c>
      <c r="R94" s="2" t="s">
        <v>23</v>
      </c>
      <c r="S94" s="2" t="s">
        <v>24</v>
      </c>
      <c r="T94" s="2" t="s">
        <v>25</v>
      </c>
      <c r="U94" s="2" t="s">
        <v>26</v>
      </c>
    </row>
    <row r="95" spans="1:32" ht="16.5" customHeight="1" x14ac:dyDescent="0.3">
      <c r="A95" s="3">
        <v>67</v>
      </c>
      <c r="B95" s="3" t="s">
        <v>153</v>
      </c>
      <c r="C95" s="4" t="s">
        <v>154</v>
      </c>
      <c r="D95" s="5">
        <v>1</v>
      </c>
      <c r="E95" s="3" t="s">
        <v>29</v>
      </c>
      <c r="F95" s="5">
        <v>1</v>
      </c>
      <c r="G95" s="4" t="s">
        <v>155</v>
      </c>
      <c r="H95" s="3" t="s">
        <v>133</v>
      </c>
      <c r="I95" s="3" t="s">
        <v>96</v>
      </c>
      <c r="J95" s="4" t="s">
        <v>105</v>
      </c>
      <c r="K95" s="6" t="s">
        <v>34</v>
      </c>
      <c r="M95" s="4" t="str">
        <f>IF(AND(ISNUMBER(D95),ISNUMBER(D96),ISNUMBER(D97),ISNUMBER(D98),ISNUMBER(D99),ISNUMBER(D100)),IF(AF95=1,W95,IF(AF96=1,W96,IF(AF97=1,W97,IF(AF98=1,W98,"")))),"")</f>
        <v>England</v>
      </c>
      <c r="N95" s="3">
        <f>IF(AND(ISNUMBER(D95),ISNUMBER(D96),ISNUMBER(D97),ISNUMBER(D98),ISNUMBER(D99),ISNUMBER(D100)),IF(AF95=1,X95,IF(AF96=1,X96,IF(AF97=1,X97,IF(AF98=1,X98,"")))),"")</f>
        <v>3</v>
      </c>
      <c r="O95" s="3">
        <f>IF(AND(ISNUMBER(D95),ISNUMBER(D96),ISNUMBER(D97),ISNUMBER(D98),ISNUMBER(D99),ISNUMBER(D100)),IF(AF95=1,Y95,IF(AF96=1,Y96,IF(AF97=1,Y97,IF(AF98=1,Y98,"")))),"")</f>
        <v>2</v>
      </c>
      <c r="P95" s="3">
        <f>IF(AND(ISNUMBER(D95),ISNUMBER(D96),ISNUMBER(D97),ISNUMBER(D98),ISNUMBER(D99),ISNUMBER(D100)),IF(AF95=1,Z95,IF(AF96=1,Z96,IF(AF97=1,Z97,IF(AF98=1,Z98,"")))),"")</f>
        <v>1</v>
      </c>
      <c r="Q95" s="3">
        <f>IF(AND(ISNUMBER(D95),ISNUMBER(D96),ISNUMBER(D97),ISNUMBER(D98),ISNUMBER(D99),ISNUMBER(D100)),IF(AF95=1,AA95,IF(AF96=1,AA96,IF(AF97=1,AA97,IF(AF98=1,AA98,"")))),"")</f>
        <v>0</v>
      </c>
      <c r="R95" s="3">
        <f>IF(AND(ISNUMBER(D95),ISNUMBER(D96),ISNUMBER(D97),ISNUMBER(D98),ISNUMBER(D99),ISNUMBER(D100)),IF(AF95=1,AB95,IF(AF96=1,AB96,IF(AF97=1,AB97,IF(AF98=1,AB98,"")))),"")</f>
        <v>6</v>
      </c>
      <c r="S95" s="3">
        <f>IF(AND(ISNUMBER(D95),ISNUMBER(D96),ISNUMBER(D97),ISNUMBER(D98),ISNUMBER(D99),ISNUMBER(D100)),IF(AF95=1,AC95,IF(AF96=1,AC96,IF(AF97=1,AC97,IF(AF98=1,AC98,"")))),"")</f>
        <v>3</v>
      </c>
      <c r="T95" s="3">
        <f>IF(AND(ISNUMBER(D95),ISNUMBER(D96),ISNUMBER(D97),ISNUMBER(D98),ISNUMBER(D99),ISNUMBER(D100)),IF(AF95=1,AD95,IF(AF96=1,AD96,IF(AF97=1,AD97,IF(AF98=1,AD98,"")))),"")</f>
        <v>3</v>
      </c>
      <c r="U95" s="3">
        <f>IF(AND(ISNUMBER(D95),ISNUMBER(D96),ISNUMBER(D97),ISNUMBER(D98),ISNUMBER(D99),ISNUMBER(D100)),IF(AF95=1,AE95,IF(AF96=1,AE96,IF(AF97=1,AE97,IF(AF98=1,AE98,"")))),"")</f>
        <v>7</v>
      </c>
      <c r="W95" t="s">
        <v>154</v>
      </c>
      <c r="X95">
        <f>((C95="England")*ISNUMBER(D95))+((G95="England")*ISNUMBER(D95))+((C96="England")*ISNUMBER(D96))+((G96="England")*ISNUMBER(D96))+((C97="England")*ISNUMBER(D97))+((G97="England")*ISNUMBER(D97))+((C98="England")*ISNUMBER(D98))+((G98="England")*ISNUMBER(D98))+((C99="England")*ISNUMBER(D99))+((G99="England")*ISNUMBER(D99))+((C100="England")*ISNUMBER(D100))+((G100="England")*ISNUMBER(D100))</f>
        <v>3</v>
      </c>
      <c r="Y95">
        <f>((C95="England")*ISNUMBER(D95)*(D95&gt;F95))+((G95="England")*ISNUMBER(D95)*(F95&gt;D95))+((C96="England")*ISNUMBER(D96)*(D96&gt;F96))+((G96="England")*ISNUMBER(D96)*(F96&gt;D96))+((C97="England")*ISNUMBER(D97)*(D97&gt;F97))+((G97="England")*ISNUMBER(D97)*(F97&gt;D97))+((C98="England")*ISNUMBER(D98)*(D98&gt;F98))+((G98="England")*ISNUMBER(D98)*(F98&gt;D98))+((C99="England")*ISNUMBER(D99)*(D99&gt;F99))+((G99="England")*ISNUMBER(D99)*(F99&gt;D99))+((C100="England")*ISNUMBER(D100)*(D100&gt;F100))+((G100="England")*ISNUMBER(D100)*(F100&gt;D100))</f>
        <v>2</v>
      </c>
      <c r="Z95">
        <f>((C95="England")*ISNUMBER(D95)*(D95=F95))+((G95="England")*ISNUMBER(D95)*(F95=D95))+((C96="England")*ISNUMBER(D96)*(D96=F96))+((G96="England")*ISNUMBER(D96)*(F96=D96))+((C97="England")*ISNUMBER(D97)*(D97=F97))+((G97="England")*ISNUMBER(D97)*(F97=D97))+((C98="England")*ISNUMBER(D98)*(D98=F98))+((G98="England")*ISNUMBER(D98)*(F98=D98))+((C99="England")*ISNUMBER(D99)*(D99=F99))+((G99="England")*ISNUMBER(D99)*(F99=D99))+((C100="England")*ISNUMBER(D100)*(D100=F100))+((G100="England")*ISNUMBER(D100)*(F100=D100))</f>
        <v>1</v>
      </c>
      <c r="AA95">
        <f>((C95="England")*ISNUMBER(D95)*(D95&lt;F95))+((G95="England")*ISNUMBER(D95)*(F95&lt;D95))+((C96="England")*ISNUMBER(D96)*(D96&lt;F96))+((G96="England")*ISNUMBER(D96)*(F96&lt;D96))+((C97="England")*ISNUMBER(D97)*(D97&lt;F97))+((G97="England")*ISNUMBER(D97)*(F97&lt;D97))+((C98="England")*ISNUMBER(D98)*(D98&lt;F98))+((G98="England")*ISNUMBER(D98)*(F98&lt;D98))+((C99="England")*ISNUMBER(D99)*(D99&lt;F99))+((G99="England")*ISNUMBER(D99)*(F99&lt;D99))+((C100="England")*ISNUMBER(D100)*(D100&lt;F100))+((G100="England")*ISNUMBER(D100)*(F100&lt;D100))</f>
        <v>0</v>
      </c>
      <c r="AB95">
        <f>IF((C95="England")*ISNUMBER(D95),D95,0)+IF((G95="England")*ISNUMBER(D95),F95,0)+IF((C96="England")*ISNUMBER(D96),D96,0)+IF((G96="England")*ISNUMBER(D96),F96,0)+IF((C97="England")*ISNUMBER(D97),D97,0)+IF((G97="England")*ISNUMBER(D97),F97,0)+IF((C98="England")*ISNUMBER(D98),D98,0)+IF((G98="England")*ISNUMBER(D98),F98,0)+IF((C99="England")*ISNUMBER(D99),D99,0)+IF((G99="England")*ISNUMBER(D99),F99,0)+IF((C100="England")*ISNUMBER(D100),D100,0)+IF((G100="England")*ISNUMBER(D100),F100,0)</f>
        <v>6</v>
      </c>
      <c r="AC95">
        <f>IF((C95="England")*ISNUMBER(D95),F95,0)+IF((G95="England")*ISNUMBER(D95),D95,0)+IF((C96="England")*ISNUMBER(D96),F96,0)+IF((G96="England")*ISNUMBER(D96),D96,0)+IF((C97="England")*ISNUMBER(D97),F97,0)+IF((G97="England")*ISNUMBER(D97),D97,0)+IF((C98="England")*ISNUMBER(D98),F98,0)+IF((G98="England")*ISNUMBER(D98),D98,0)+IF((C99="England")*ISNUMBER(D99),F99,0)+IF((G99="England")*ISNUMBER(D99),D99,0)+IF((C100="England")*ISNUMBER(D100),F100,0)+IF((G100="England")*ISNUMBER(D100),D100,0)</f>
        <v>3</v>
      </c>
      <c r="AD95">
        <f>AB95-AC95</f>
        <v>3</v>
      </c>
      <c r="AE95">
        <f>3*Y95+Z95</f>
        <v>7</v>
      </c>
      <c r="AF95">
        <f>1+((AE96&gt;AE95)+(AE96=AE95)*(AD96&gt;AD95)+(AE96=AE95)*(AD96=AD95)*(AB96&gt;AB95)&gt;0)*1+((AE97&gt;AE95)+(AE97=AE95)*(AD97&gt;AD95)+(AE97=AE95)*(AD97=AD95)*(AB97&gt;AB95)&gt;0)*1+((AE98&gt;AE95)+(AE98=AE95)*(AD98&gt;AD95)+(AE98=AE95)*(AD98=AD95)*(AB98&gt;AB95)&gt;0)*1</f>
        <v>1</v>
      </c>
    </row>
    <row r="96" spans="1:32" ht="16.5" customHeight="1" x14ac:dyDescent="0.3">
      <c r="A96" s="7">
        <v>68</v>
      </c>
      <c r="B96" s="7" t="s">
        <v>153</v>
      </c>
      <c r="C96" s="8" t="s">
        <v>156</v>
      </c>
      <c r="D96" s="5">
        <v>2</v>
      </c>
      <c r="E96" s="7" t="s">
        <v>29</v>
      </c>
      <c r="F96" s="5">
        <v>1</v>
      </c>
      <c r="G96" s="8" t="s">
        <v>157</v>
      </c>
      <c r="H96" s="7" t="s">
        <v>41</v>
      </c>
      <c r="I96" s="7" t="s">
        <v>95</v>
      </c>
      <c r="J96" s="8" t="s">
        <v>53</v>
      </c>
      <c r="K96" s="6" t="s">
        <v>34</v>
      </c>
      <c r="M96" s="4" t="str">
        <f>IF(AND(ISNUMBER(D95),ISNUMBER(D96),ISNUMBER(D97),ISNUMBER(D98),ISNUMBER(D99),ISNUMBER(D100)),IF(AF95=2,W95,IF(AF96=2,W96,IF(AF97=2,W97,IF(AF98=2,W98,"")))),"")</f>
        <v>Kroatia</v>
      </c>
      <c r="N96" s="3">
        <f>IF(AND(ISNUMBER(D95),ISNUMBER(D96),ISNUMBER(D97),ISNUMBER(D98),ISNUMBER(D99),ISNUMBER(D100)),IF(AF95=2,X95,IF(AF96=2,X96,IF(AF97=2,X97,IF(AF98=2,X98,"")))),"")</f>
        <v>3</v>
      </c>
      <c r="O96" s="3">
        <f>IF(AND(ISNUMBER(D95),ISNUMBER(D96),ISNUMBER(D97),ISNUMBER(D98),ISNUMBER(D99),ISNUMBER(D100)),IF(AF95=2,Y95,IF(AF96=2,Y96,IF(AF97=2,Y97,IF(AF98=2,Y98,"")))),"")</f>
        <v>1</v>
      </c>
      <c r="P96" s="3">
        <f>IF(AND(ISNUMBER(D95),ISNUMBER(D96),ISNUMBER(D97),ISNUMBER(D98),ISNUMBER(D99),ISNUMBER(D100)),IF(AF95=2,Z95,IF(AF96=2,Z96,IF(AF97=2,Z97,IF(AF98=2,Z98,"")))),"")</f>
        <v>2</v>
      </c>
      <c r="Q96" s="3">
        <f>IF(AND(ISNUMBER(D95),ISNUMBER(D96),ISNUMBER(D97),ISNUMBER(D98),ISNUMBER(D99),ISNUMBER(D100)),IF(AF95=2,AA95,IF(AF96=2,AA96,IF(AF97=2,AA97,IF(AF98=2,AA98,"")))),"")</f>
        <v>0</v>
      </c>
      <c r="R96" s="3">
        <f>IF(AND(ISNUMBER(D95),ISNUMBER(D96),ISNUMBER(D97),ISNUMBER(D98),ISNUMBER(D99),ISNUMBER(D100)),IF(AF95=2,AB95,IF(AF96=2,AB96,IF(AF97=2,AB97,IF(AF98=2,AB98,"")))),"")</f>
        <v>4</v>
      </c>
      <c r="S96" s="3">
        <f>IF(AND(ISNUMBER(D95),ISNUMBER(D96),ISNUMBER(D97),ISNUMBER(D98),ISNUMBER(D99),ISNUMBER(D100)),IF(AF95=2,AC95,IF(AF96=2,AC96,IF(AF97=2,AC97,IF(AF98=2,AC98,"")))),"")</f>
        <v>3</v>
      </c>
      <c r="T96" s="3">
        <f>IF(AND(ISNUMBER(D95),ISNUMBER(D96),ISNUMBER(D97),ISNUMBER(D98),ISNUMBER(D99),ISNUMBER(D100)),IF(AF95=2,AD95,IF(AF96=2,AD96,IF(AF97=2,AD97,IF(AF98=2,AD98,"")))),"")</f>
        <v>1</v>
      </c>
      <c r="U96" s="3">
        <f>IF(AND(ISNUMBER(D95),ISNUMBER(D96),ISNUMBER(D97),ISNUMBER(D98),ISNUMBER(D99),ISNUMBER(D100)),IF(AF95=2,AE95,IF(AF96=2,AE96,IF(AF97=2,AE97,IF(AF98=2,AE98,"")))),"")</f>
        <v>5</v>
      </c>
      <c r="W96" t="s">
        <v>155</v>
      </c>
      <c r="X96">
        <f>((C95="Kroatia")*ISNUMBER(D95))+((G95="Kroatia")*ISNUMBER(D95))+((C96="Kroatia")*ISNUMBER(D96))+((G96="Kroatia")*ISNUMBER(D96))+((C97="Kroatia")*ISNUMBER(D97))+((G97="Kroatia")*ISNUMBER(D97))+((C98="Kroatia")*ISNUMBER(D98))+((G98="Kroatia")*ISNUMBER(D98))+((C99="Kroatia")*ISNUMBER(D99))+((G99="Kroatia")*ISNUMBER(D99))+((C100="Kroatia")*ISNUMBER(D100))+((G100="Kroatia")*ISNUMBER(D100))</f>
        <v>3</v>
      </c>
      <c r="Y96">
        <f>((C95="Kroatia")*ISNUMBER(D95)*(D95&gt;F95))+((G95="Kroatia")*ISNUMBER(D95)*(F95&gt;D95))+((C96="Kroatia")*ISNUMBER(D96)*(D96&gt;F96))+((G96="Kroatia")*ISNUMBER(D96)*(F96&gt;D96))+((C97="Kroatia")*ISNUMBER(D97)*(D97&gt;F97))+((G97="Kroatia")*ISNUMBER(D97)*(F97&gt;D97))+((C98="Kroatia")*ISNUMBER(D98)*(D98&gt;F98))+((G98="Kroatia")*ISNUMBER(D98)*(F98&gt;D98))+((C99="Kroatia")*ISNUMBER(D99)*(D99&gt;F99))+((G99="Kroatia")*ISNUMBER(D99)*(F99&gt;D99))+((C100="Kroatia")*ISNUMBER(D100)*(D100&gt;F100))+((G100="Kroatia")*ISNUMBER(D100)*(F100&gt;D100))</f>
        <v>1</v>
      </c>
      <c r="Z96">
        <f>((C95="Kroatia")*ISNUMBER(D95)*(D95=F95))+((G95="Kroatia")*ISNUMBER(D95)*(F95=D95))+((C96="Kroatia")*ISNUMBER(D96)*(D96=F96))+((G96="Kroatia")*ISNUMBER(D96)*(F96=D96))+((C97="Kroatia")*ISNUMBER(D97)*(D97=F97))+((G97="Kroatia")*ISNUMBER(D97)*(F97=D97))+((C98="Kroatia")*ISNUMBER(D98)*(D98=F98))+((G98="Kroatia")*ISNUMBER(D98)*(F98=D98))+((C99="Kroatia")*ISNUMBER(D99)*(D99=F99))+((G99="Kroatia")*ISNUMBER(D99)*(F99=D99))+((C100="Kroatia")*ISNUMBER(D100)*(D100=F100))+((G100="Kroatia")*ISNUMBER(D100)*(F100=D100))</f>
        <v>2</v>
      </c>
      <c r="AA96">
        <f>((C95="Kroatia")*ISNUMBER(D95)*(D95&lt;F95))+((G95="Kroatia")*ISNUMBER(D95)*(F95&lt;D95))+((C96="Kroatia")*ISNUMBER(D96)*(D96&lt;F96))+((G96="Kroatia")*ISNUMBER(D96)*(F96&lt;D96))+((C97="Kroatia")*ISNUMBER(D97)*(D97&lt;F97))+((G97="Kroatia")*ISNUMBER(D97)*(F97&lt;D97))+((C98="Kroatia")*ISNUMBER(D98)*(D98&lt;F98))+((G98="Kroatia")*ISNUMBER(D98)*(F98&lt;D98))+((C99="Kroatia")*ISNUMBER(D99)*(D99&lt;F99))+((G99="Kroatia")*ISNUMBER(D99)*(F99&lt;D99))+((C100="Kroatia")*ISNUMBER(D100)*(D100&lt;F100))+((G100="Kroatia")*ISNUMBER(D100)*(F100&lt;D100))</f>
        <v>0</v>
      </c>
      <c r="AB96">
        <f>IF((C95="Kroatia")*ISNUMBER(D95),D95,0)+IF((G95="Kroatia")*ISNUMBER(D95),F95,0)+IF((C96="Kroatia")*ISNUMBER(D96),D96,0)+IF((G96="Kroatia")*ISNUMBER(D96),F96,0)+IF((C97="Kroatia")*ISNUMBER(D97),D97,0)+IF((G97="Kroatia")*ISNUMBER(D97),F97,0)+IF((C98="Kroatia")*ISNUMBER(D98),D98,0)+IF((G98="Kroatia")*ISNUMBER(D98),F98,0)+IF((C99="Kroatia")*ISNUMBER(D99),D99,0)+IF((G99="Kroatia")*ISNUMBER(D99),F99,0)+IF((C100="Kroatia")*ISNUMBER(D100),D100,0)+IF((G100="Kroatia")*ISNUMBER(D100),F100,0)</f>
        <v>4</v>
      </c>
      <c r="AC96">
        <f>IF((C95="Kroatia")*ISNUMBER(D95),F95,0)+IF((G95="Kroatia")*ISNUMBER(D95),D95,0)+IF((C96="Kroatia")*ISNUMBER(D96),F96,0)+IF((G96="Kroatia")*ISNUMBER(D96),D96,0)+IF((C97="Kroatia")*ISNUMBER(D97),F97,0)+IF((G97="Kroatia")*ISNUMBER(D97),D97,0)+IF((C98="Kroatia")*ISNUMBER(D98),F98,0)+IF((G98="Kroatia")*ISNUMBER(D98),D98,0)+IF((C99="Kroatia")*ISNUMBER(D99),F99,0)+IF((G99="Kroatia")*ISNUMBER(D99),D99,0)+IF((C100="Kroatia")*ISNUMBER(D100),F100,0)+IF((G100="Kroatia")*ISNUMBER(D100),D100,0)</f>
        <v>3</v>
      </c>
      <c r="AD96">
        <f>AB96-AC96</f>
        <v>1</v>
      </c>
      <c r="AE96">
        <f>3*Y96+Z96</f>
        <v>5</v>
      </c>
      <c r="AF96">
        <f>1+((AE95&gt;AE96)+(AE95=AE96)*(AD95&gt;AD96)+(AE95=AE96)*(AD95=AD96)*(AB95&gt;AB96)&gt;0)*1+((AE97&gt;AE96)+(AE97=AE96)*(AD97&gt;AD96)+(AE97=AE96)*(AD97=AD96)*(AB97&gt;AB96)&gt;0)*1+((AE98&gt;AE96)+(AE98=AE96)*(AD98&gt;AD96)+(AE98=AE96)*(AD98=AD96)*(AB98&gt;AB96)&gt;0)*1</f>
        <v>2</v>
      </c>
    </row>
    <row r="97" spans="1:32" ht="16.5" customHeight="1" x14ac:dyDescent="0.3">
      <c r="A97" s="3">
        <v>69</v>
      </c>
      <c r="B97" s="3" t="s">
        <v>153</v>
      </c>
      <c r="C97" s="4" t="s">
        <v>154</v>
      </c>
      <c r="D97" s="5">
        <v>2</v>
      </c>
      <c r="E97" s="3" t="s">
        <v>29</v>
      </c>
      <c r="F97" s="5">
        <v>1</v>
      </c>
      <c r="G97" s="4" t="s">
        <v>156</v>
      </c>
      <c r="H97" s="3" t="s">
        <v>135</v>
      </c>
      <c r="I97" s="3" t="s">
        <v>96</v>
      </c>
      <c r="J97" s="4" t="s">
        <v>72</v>
      </c>
      <c r="K97" s="9" t="s">
        <v>40</v>
      </c>
      <c r="M97" s="4" t="str">
        <f>IF(AND(ISNUMBER(D95),ISNUMBER(D96),ISNUMBER(D97),ISNUMBER(D98),ISNUMBER(D99),ISNUMBER(D100)),IF(AF95=3,W95,IF(AF96=3,W96,IF(AF97=3,W97,IF(AF98=3,W98,"")))),"")</f>
        <v>Ghana</v>
      </c>
      <c r="N97" s="3">
        <f>IF(AND(ISNUMBER(D95),ISNUMBER(D96),ISNUMBER(D97),ISNUMBER(D98),ISNUMBER(D99),ISNUMBER(D100)),IF(AF95=3,X95,IF(AF96=3,X96,IF(AF97=3,X97,IF(AF98=3,X98,"")))),"")</f>
        <v>3</v>
      </c>
      <c r="O97" s="3">
        <f>IF(AND(ISNUMBER(D95),ISNUMBER(D96),ISNUMBER(D97),ISNUMBER(D98),ISNUMBER(D99),ISNUMBER(D100)),IF(AF95=3,Y95,IF(AF96=3,Y96,IF(AF97=3,Y97,IF(AF98=3,Y98,"")))),"")</f>
        <v>1</v>
      </c>
      <c r="P97" s="3">
        <f>IF(AND(ISNUMBER(D95),ISNUMBER(D96),ISNUMBER(D97),ISNUMBER(D98),ISNUMBER(D99),ISNUMBER(D100)),IF(AF95=3,Z95,IF(AF96=3,Z96,IF(AF97=3,Z97,IF(AF98=3,Z98,"")))),"")</f>
        <v>1</v>
      </c>
      <c r="Q97" s="3">
        <f>IF(AND(ISNUMBER(D95),ISNUMBER(D96),ISNUMBER(D97),ISNUMBER(D98),ISNUMBER(D99),ISNUMBER(D100)),IF(AF95=3,AA95,IF(AF96=3,AA96,IF(AF97=3,AA97,IF(AF98=3,AA98,"")))),"")</f>
        <v>1</v>
      </c>
      <c r="R97" s="3">
        <f>IF(AND(ISNUMBER(D95),ISNUMBER(D96),ISNUMBER(D97),ISNUMBER(D98),ISNUMBER(D99),ISNUMBER(D100)),IF(AF95=3,AB95,IF(AF96=3,AB96,IF(AF97=3,AB97,IF(AF98=3,AB98,"")))),"")</f>
        <v>5</v>
      </c>
      <c r="S97" s="3">
        <f>IF(AND(ISNUMBER(D95),ISNUMBER(D96),ISNUMBER(D97),ISNUMBER(D98),ISNUMBER(D99),ISNUMBER(D100)),IF(AF95=3,AC95,IF(AF96=3,AC96,IF(AF97=3,AC97,IF(AF98=3,AC98,"")))),"")</f>
        <v>5</v>
      </c>
      <c r="T97" s="3">
        <f>IF(AND(ISNUMBER(D95),ISNUMBER(D96),ISNUMBER(D97),ISNUMBER(D98),ISNUMBER(D99),ISNUMBER(D100)),IF(AF95=3,AD95,IF(AF96=3,AD96,IF(AF97=3,AD97,IF(AF98=3,AD98,"")))),"")</f>
        <v>0</v>
      </c>
      <c r="U97" s="3">
        <f>IF(AND(ISNUMBER(D95),ISNUMBER(D96),ISNUMBER(D97),ISNUMBER(D98),ISNUMBER(D99),ISNUMBER(D100)),IF(AF95=3,AE95,IF(AF96=3,AE96,IF(AF97=3,AE97,IF(AF98=3,AE98,"")))),"")</f>
        <v>4</v>
      </c>
      <c r="W97" t="s">
        <v>156</v>
      </c>
      <c r="X97">
        <f>((C95="Ghana")*ISNUMBER(D95))+((G95="Ghana")*ISNUMBER(D95))+((C96="Ghana")*ISNUMBER(D96))+((G96="Ghana")*ISNUMBER(D96))+((C97="Ghana")*ISNUMBER(D97))+((G97="Ghana")*ISNUMBER(D97))+((C98="Ghana")*ISNUMBER(D98))+((G98="Ghana")*ISNUMBER(D98))+((C99="Ghana")*ISNUMBER(D99))+((G99="Ghana")*ISNUMBER(D99))+((C100="Ghana")*ISNUMBER(D100))+((G100="Ghana")*ISNUMBER(D100))</f>
        <v>3</v>
      </c>
      <c r="Y97">
        <f>((C95="Ghana")*ISNUMBER(D95)*(D95&gt;F95))+((G95="Ghana")*ISNUMBER(D95)*(F95&gt;D95))+((C96="Ghana")*ISNUMBER(D96)*(D96&gt;F96))+((G96="Ghana")*ISNUMBER(D96)*(F96&gt;D96))+((C97="Ghana")*ISNUMBER(D97)*(D97&gt;F97))+((G97="Ghana")*ISNUMBER(D97)*(F97&gt;D97))+((C98="Ghana")*ISNUMBER(D98)*(D98&gt;F98))+((G98="Ghana")*ISNUMBER(D98)*(F98&gt;D98))+((C99="Ghana")*ISNUMBER(D99)*(D99&gt;F99))+((G99="Ghana")*ISNUMBER(D99)*(F99&gt;D99))+((C100="Ghana")*ISNUMBER(D100)*(D100&gt;F100))+((G100="Ghana")*ISNUMBER(D100)*(F100&gt;D100))</f>
        <v>1</v>
      </c>
      <c r="Z97">
        <f>((C95="Ghana")*ISNUMBER(D95)*(D95=F95))+((G95="Ghana")*ISNUMBER(D95)*(F95=D95))+((C96="Ghana")*ISNUMBER(D96)*(D96=F96))+((G96="Ghana")*ISNUMBER(D96)*(F96=D96))+((C97="Ghana")*ISNUMBER(D97)*(D97=F97))+((G97="Ghana")*ISNUMBER(D97)*(F97=D97))+((C98="Ghana")*ISNUMBER(D98)*(D98=F98))+((G98="Ghana")*ISNUMBER(D98)*(F98=D98))+((C99="Ghana")*ISNUMBER(D99)*(D99=F99))+((G99="Ghana")*ISNUMBER(D99)*(F99=D99))+((C100="Ghana")*ISNUMBER(D100)*(D100=F100))+((G100="Ghana")*ISNUMBER(D100)*(F100=D100))</f>
        <v>1</v>
      </c>
      <c r="AA97">
        <f>((C95="Ghana")*ISNUMBER(D95)*(D95&lt;F95))+((G95="Ghana")*ISNUMBER(D95)*(F95&lt;D95))+((C96="Ghana")*ISNUMBER(D96)*(D96&lt;F96))+((G96="Ghana")*ISNUMBER(D96)*(F96&lt;D96))+((C97="Ghana")*ISNUMBER(D97)*(D97&lt;F97))+((G97="Ghana")*ISNUMBER(D97)*(F97&lt;D97))+((C98="Ghana")*ISNUMBER(D98)*(D98&lt;F98))+((G98="Ghana")*ISNUMBER(D98)*(F98&lt;D98))+((C99="Ghana")*ISNUMBER(D99)*(D99&lt;F99))+((G99="Ghana")*ISNUMBER(D99)*(F99&lt;D99))+((C100="Ghana")*ISNUMBER(D100)*(D100&lt;F100))+((G100="Ghana")*ISNUMBER(D100)*(F100&lt;D100))</f>
        <v>1</v>
      </c>
      <c r="AB97">
        <f>IF((C95="Ghana")*ISNUMBER(D95),D95,0)+IF((G95="Ghana")*ISNUMBER(D95),F95,0)+IF((C96="Ghana")*ISNUMBER(D96),D96,0)+IF((G96="Ghana")*ISNUMBER(D96),F96,0)+IF((C97="Ghana")*ISNUMBER(D97),D97,0)+IF((G97="Ghana")*ISNUMBER(D97),F97,0)+IF((C98="Ghana")*ISNUMBER(D98),D98,0)+IF((G98="Ghana")*ISNUMBER(D98),F98,0)+IF((C99="Ghana")*ISNUMBER(D99),D99,0)+IF((G99="Ghana")*ISNUMBER(D99),F99,0)+IF((C100="Ghana")*ISNUMBER(D100),D100,0)+IF((G100="Ghana")*ISNUMBER(D100),F100,0)</f>
        <v>5</v>
      </c>
      <c r="AC97">
        <f>IF((C95="Ghana")*ISNUMBER(D95),F95,0)+IF((G95="Ghana")*ISNUMBER(D95),D95,0)+IF((C96="Ghana")*ISNUMBER(D96),F96,0)+IF((G96="Ghana")*ISNUMBER(D96),D96,0)+IF((C97="Ghana")*ISNUMBER(D97),F97,0)+IF((G97="Ghana")*ISNUMBER(D97),D97,0)+IF((C98="Ghana")*ISNUMBER(D98),F98,0)+IF((G98="Ghana")*ISNUMBER(D98),D98,0)+IF((C99="Ghana")*ISNUMBER(D99),F99,0)+IF((G99="Ghana")*ISNUMBER(D99),D99,0)+IF((C100="Ghana")*ISNUMBER(D100),F100,0)+IF((G100="Ghana")*ISNUMBER(D100),D100,0)</f>
        <v>5</v>
      </c>
      <c r="AD97">
        <f>AB97-AC97</f>
        <v>0</v>
      </c>
      <c r="AE97">
        <f>3*Y97+Z97</f>
        <v>4</v>
      </c>
      <c r="AF97">
        <f>1+((AE95&gt;AE97)+(AE95=AE97)*(AD95&gt;AD97)+(AE95=AE97)*(AD95=AD97)*(AB95&gt;AB97)&gt;0)*1+((AE96&gt;AE97)+(AE96=AE97)*(AD96&gt;AD97)+(AE96=AE97)*(AD96=AD97)*(AB96&gt;AB97)&gt;0)*1+((AE98&gt;AE97)+(AE98=AE97)*(AD98&gt;AD97)+(AE98=AE97)*(AD98=AD97)*(AB98&gt;AB97)&gt;0)*1</f>
        <v>3</v>
      </c>
    </row>
    <row r="98" spans="1:32" ht="16.5" customHeight="1" x14ac:dyDescent="0.3">
      <c r="A98" s="7">
        <v>70</v>
      </c>
      <c r="B98" s="7" t="s">
        <v>153</v>
      </c>
      <c r="C98" s="8" t="s">
        <v>157</v>
      </c>
      <c r="D98" s="5">
        <v>0</v>
      </c>
      <c r="E98" s="7" t="s">
        <v>29</v>
      </c>
      <c r="F98" s="5">
        <v>1</v>
      </c>
      <c r="G98" s="8" t="s">
        <v>155</v>
      </c>
      <c r="H98" s="7" t="s">
        <v>61</v>
      </c>
      <c r="I98" s="7" t="s">
        <v>95</v>
      </c>
      <c r="J98" s="8" t="s">
        <v>53</v>
      </c>
      <c r="K98" s="9" t="s">
        <v>40</v>
      </c>
      <c r="M98" s="4" t="str">
        <f>IF(AND(ISNUMBER(D95),ISNUMBER(D96),ISNUMBER(D97),ISNUMBER(D98),ISNUMBER(D99),ISNUMBER(D100)),IF(AF95=4,W95,IF(AF96=4,W96,IF(AF97=4,W97,IF(AF98=4,W98,"")))),"")</f>
        <v>Panama</v>
      </c>
      <c r="N98" s="3">
        <f>IF(AND(ISNUMBER(D95),ISNUMBER(D96),ISNUMBER(D97),ISNUMBER(D98),ISNUMBER(D99),ISNUMBER(D100)),IF(AF95=4,X95,IF(AF96=4,X96,IF(AF97=4,X97,IF(AF98=4,X98,"")))),"")</f>
        <v>3</v>
      </c>
      <c r="O98" s="3">
        <f>IF(AND(ISNUMBER(D95),ISNUMBER(D96),ISNUMBER(D97),ISNUMBER(D98),ISNUMBER(D99),ISNUMBER(D100)),IF(AF95=4,Y95,IF(AF96=4,Y96,IF(AF97=4,Y97,IF(AF98=4,Y98,"")))),"")</f>
        <v>0</v>
      </c>
      <c r="P98" s="3">
        <f>IF(AND(ISNUMBER(D95),ISNUMBER(D96),ISNUMBER(D97),ISNUMBER(D98),ISNUMBER(D99),ISNUMBER(D100)),IF(AF95=4,Z95,IF(AF96=4,Z96,IF(AF97=4,Z97,IF(AF98=4,Z98,"")))),"")</f>
        <v>0</v>
      </c>
      <c r="Q98" s="3">
        <f>IF(AND(ISNUMBER(D95),ISNUMBER(D96),ISNUMBER(D97),ISNUMBER(D98),ISNUMBER(D99),ISNUMBER(D100)),IF(AF95=4,AA95,IF(AF96=4,AA96,IF(AF97=4,AA97,IF(AF98=4,AA98,"")))),"")</f>
        <v>3</v>
      </c>
      <c r="R98" s="3">
        <f>IF(AND(ISNUMBER(D95),ISNUMBER(D96),ISNUMBER(D97),ISNUMBER(D98),ISNUMBER(D99),ISNUMBER(D100)),IF(AF95=4,AB95,IF(AF96=4,AB96,IF(AF97=4,AB97,IF(AF98=4,AB98,"")))),"")</f>
        <v>2</v>
      </c>
      <c r="S98" s="3">
        <f>IF(AND(ISNUMBER(D95),ISNUMBER(D96),ISNUMBER(D97),ISNUMBER(D98),ISNUMBER(D99),ISNUMBER(D100)),IF(AF95=4,AC95,IF(AF96=4,AC96,IF(AF97=4,AC97,IF(AF98=4,AC98,"")))),"")</f>
        <v>6</v>
      </c>
      <c r="T98" s="3">
        <f>IF(AND(ISNUMBER(D95),ISNUMBER(D96),ISNUMBER(D97),ISNUMBER(D98),ISNUMBER(D99),ISNUMBER(D100)),IF(AF95=4,AD95,IF(AF96=4,AD96,IF(AF97=4,AD97,IF(AF98=4,AD98,"")))),"")</f>
        <v>-4</v>
      </c>
      <c r="U98" s="3">
        <f>IF(AND(ISNUMBER(D95),ISNUMBER(D96),ISNUMBER(D97),ISNUMBER(D98),ISNUMBER(D99),ISNUMBER(D100)),IF(AF95=4,AE95,IF(AF96=4,AE96,IF(AF97=4,AE97,IF(AF98=4,AE98,"")))),"")</f>
        <v>0</v>
      </c>
      <c r="W98" t="s">
        <v>157</v>
      </c>
      <c r="X98">
        <f>((C95="Panama")*ISNUMBER(D95))+((G95="Panama")*ISNUMBER(D95))+((C96="Panama")*ISNUMBER(D96))+((G96="Panama")*ISNUMBER(D96))+((C97="Panama")*ISNUMBER(D97))+((G97="Panama")*ISNUMBER(D97))+((C98="Panama")*ISNUMBER(D98))+((G98="Panama")*ISNUMBER(D98))+((C99="Panama")*ISNUMBER(D99))+((G99="Panama")*ISNUMBER(D99))+((C100="Panama")*ISNUMBER(D100))+((G100="Panama")*ISNUMBER(D100))</f>
        <v>3</v>
      </c>
      <c r="Y98">
        <f>((C95="Panama")*ISNUMBER(D95)*(D95&gt;F95))+((G95="Panama")*ISNUMBER(D95)*(F95&gt;D95))+((C96="Panama")*ISNUMBER(D96)*(D96&gt;F96))+((G96="Panama")*ISNUMBER(D96)*(F96&gt;D96))+((C97="Panama")*ISNUMBER(D97)*(D97&gt;F97))+((G97="Panama")*ISNUMBER(D97)*(F97&gt;D97))+((C98="Panama")*ISNUMBER(D98)*(D98&gt;F98))+((G98="Panama")*ISNUMBER(D98)*(F98&gt;D98))+((C99="Panama")*ISNUMBER(D99)*(D99&gt;F99))+((G99="Panama")*ISNUMBER(D99)*(F99&gt;D99))+((C100="Panama")*ISNUMBER(D100)*(D100&gt;F100))+((G100="Panama")*ISNUMBER(D100)*(F100&gt;D100))</f>
        <v>0</v>
      </c>
      <c r="Z98">
        <f>((C95="Panama")*ISNUMBER(D95)*(D95=F95))+((G95="Panama")*ISNUMBER(D95)*(F95=D95))+((C96="Panama")*ISNUMBER(D96)*(D96=F96))+((G96="Panama")*ISNUMBER(D96)*(F96=D96))+((C97="Panama")*ISNUMBER(D97)*(D97=F97))+((G97="Panama")*ISNUMBER(D97)*(F97=D97))+((C98="Panama")*ISNUMBER(D98)*(D98=F98))+((G98="Panama")*ISNUMBER(D98)*(F98=D98))+((C99="Panama")*ISNUMBER(D99)*(D99=F99))+((G99="Panama")*ISNUMBER(D99)*(F99=D99))+((C100="Panama")*ISNUMBER(D100)*(D100=F100))+((G100="Panama")*ISNUMBER(D100)*(F100=D100))</f>
        <v>0</v>
      </c>
      <c r="AA98">
        <f>((C95="Panama")*ISNUMBER(D95)*(D95&lt;F95))+((G95="Panama")*ISNUMBER(D95)*(F95&lt;D95))+((C96="Panama")*ISNUMBER(D96)*(D96&lt;F96))+((G96="Panama")*ISNUMBER(D96)*(F96&lt;D96))+((C97="Panama")*ISNUMBER(D97)*(D97&lt;F97))+((G97="Panama")*ISNUMBER(D97)*(F97&lt;D97))+((C98="Panama")*ISNUMBER(D98)*(D98&lt;F98))+((G98="Panama")*ISNUMBER(D98)*(F98&lt;D98))+((C99="Panama")*ISNUMBER(D99)*(D99&lt;F99))+((G99="Panama")*ISNUMBER(D99)*(F99&lt;D99))+((C100="Panama")*ISNUMBER(D100)*(D100&lt;F100))+((G100="Panama")*ISNUMBER(D100)*(F100&lt;D100))</f>
        <v>3</v>
      </c>
      <c r="AB98">
        <f>IF((C95="Panama")*ISNUMBER(D95),D95,0)+IF((G95="Panama")*ISNUMBER(D95),F95,0)+IF((C96="Panama")*ISNUMBER(D96),D96,0)+IF((G96="Panama")*ISNUMBER(D96),F96,0)+IF((C97="Panama")*ISNUMBER(D97),D97,0)+IF((G97="Panama")*ISNUMBER(D97),F97,0)+IF((C98="Panama")*ISNUMBER(D98),D98,0)+IF((G98="Panama")*ISNUMBER(D98),F98,0)+IF((C99="Panama")*ISNUMBER(D99),D99,0)+IF((G99="Panama")*ISNUMBER(D99),F99,0)+IF((C100="Panama")*ISNUMBER(D100),D100,0)+IF((G100="Panama")*ISNUMBER(D100),F100,0)</f>
        <v>2</v>
      </c>
      <c r="AC98">
        <f>IF((C95="Panama")*ISNUMBER(D95),F95,0)+IF((G95="Panama")*ISNUMBER(D95),D95,0)+IF((C96="Panama")*ISNUMBER(D96),F96,0)+IF((G96="Panama")*ISNUMBER(D96),D96,0)+IF((C97="Panama")*ISNUMBER(D97),F97,0)+IF((G97="Panama")*ISNUMBER(D97),D97,0)+IF((C98="Panama")*ISNUMBER(D98),F98,0)+IF((G98="Panama")*ISNUMBER(D98),D98,0)+IF((C99="Panama")*ISNUMBER(D99),F99,0)+IF((G99="Panama")*ISNUMBER(D99),D99,0)+IF((C100="Panama")*ISNUMBER(D100),F100,0)+IF((G100="Panama")*ISNUMBER(D100),D100,0)</f>
        <v>6</v>
      </c>
      <c r="AD98">
        <f>AB98-AC98</f>
        <v>-4</v>
      </c>
      <c r="AE98">
        <f>3*Y98+Z98</f>
        <v>0</v>
      </c>
      <c r="AF98">
        <f>1+((AE95&gt;AE98)+(AE95=AE98)*(AD95&gt;AD98)+(AE95=AE98)*(AD95=AD98)*(AB95&gt;AB98)&gt;0)*1+((AE96&gt;AE98)+(AE96=AE98)*(AD96&gt;AD98)+(AE96=AE98)*(AD96=AD98)*(AB96&gt;AB98)&gt;0)*1+((AE97&gt;AE98)+(AE97=AE98)*(AD97&gt;AD98)+(AE97=AE98)*(AD97=AD98)*(AB97&gt;AB98)&gt;0)*1</f>
        <v>4</v>
      </c>
    </row>
    <row r="99" spans="1:32" ht="16.5" customHeight="1" x14ac:dyDescent="0.3">
      <c r="A99" s="3">
        <v>71</v>
      </c>
      <c r="B99" s="3" t="s">
        <v>153</v>
      </c>
      <c r="C99" s="4" t="s">
        <v>157</v>
      </c>
      <c r="D99" s="5">
        <v>1</v>
      </c>
      <c r="E99" s="3" t="s">
        <v>29</v>
      </c>
      <c r="F99" s="5">
        <v>3</v>
      </c>
      <c r="G99" s="4" t="s">
        <v>154</v>
      </c>
      <c r="H99" s="3" t="s">
        <v>117</v>
      </c>
      <c r="I99" s="3" t="s">
        <v>134</v>
      </c>
      <c r="J99" s="4" t="s">
        <v>69</v>
      </c>
      <c r="K99" s="6" t="s">
        <v>34</v>
      </c>
    </row>
    <row r="100" spans="1:32" ht="16.5" customHeight="1" x14ac:dyDescent="0.3">
      <c r="A100" s="7">
        <v>72</v>
      </c>
      <c r="B100" s="7" t="s">
        <v>153</v>
      </c>
      <c r="C100" s="8" t="s">
        <v>155</v>
      </c>
      <c r="D100" s="5">
        <v>2</v>
      </c>
      <c r="E100" s="7" t="s">
        <v>29</v>
      </c>
      <c r="F100" s="5">
        <v>2</v>
      </c>
      <c r="G100" s="8" t="s">
        <v>156</v>
      </c>
      <c r="H100" s="7" t="s">
        <v>117</v>
      </c>
      <c r="I100" s="7" t="s">
        <v>134</v>
      </c>
      <c r="J100" s="8" t="s">
        <v>74</v>
      </c>
      <c r="K100" s="6" t="s">
        <v>34</v>
      </c>
    </row>
    <row r="101" spans="1:32" ht="30" customHeight="1" x14ac:dyDescent="0.3">
      <c r="A101" s="12"/>
      <c r="B101" s="12"/>
      <c r="C101" s="12"/>
      <c r="D101" s="12"/>
      <c r="E101" s="12"/>
      <c r="F101" s="12"/>
      <c r="G101" s="12"/>
      <c r="H101" s="58" t="s">
        <v>158</v>
      </c>
      <c r="I101" s="58"/>
      <c r="J101" s="58"/>
      <c r="K101" s="58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2" ht="15.75" customHeight="1" x14ac:dyDescent="0.3">
      <c r="A102" s="12"/>
      <c r="B102" s="12"/>
      <c r="C102" s="12"/>
      <c r="D102" s="12"/>
      <c r="E102" s="12"/>
      <c r="F102" s="12"/>
      <c r="G102" s="12"/>
      <c r="H102" s="13" t="s">
        <v>159</v>
      </c>
      <c r="I102" s="13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2" ht="24" customHeight="1" x14ac:dyDescent="0.3">
      <c r="A103" s="12"/>
      <c r="B103" s="12"/>
      <c r="C103" s="12"/>
      <c r="D103" s="12"/>
      <c r="E103" s="12"/>
      <c r="F103" s="12"/>
      <c r="G103" s="12"/>
      <c r="H103" s="14"/>
      <c r="I103" s="59" t="s">
        <v>160</v>
      </c>
      <c r="J103" s="59"/>
      <c r="K103" s="59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2" ht="18" customHeight="1" x14ac:dyDescent="0.3">
      <c r="A104" s="12"/>
      <c r="B104" s="12"/>
      <c r="C104" s="12"/>
      <c r="D104" s="12"/>
      <c r="E104" s="12"/>
      <c r="F104" s="12"/>
      <c r="G104" s="12"/>
      <c r="H104" s="15" t="str">
        <f>COUNTIF(H105:H136,1)&amp;"/16"</f>
        <v>16/16</v>
      </c>
      <c r="I104" s="16" t="s">
        <v>18</v>
      </c>
      <c r="J104" s="12"/>
      <c r="K104" s="1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2" ht="21.75" customHeight="1" x14ac:dyDescent="0.3">
      <c r="A105" s="12"/>
      <c r="B105" s="12"/>
      <c r="C105" s="12"/>
      <c r="D105" s="12"/>
      <c r="E105" s="12"/>
      <c r="F105" s="12"/>
      <c r="G105" s="12"/>
      <c r="H105" s="18">
        <v>1</v>
      </c>
      <c r="I105" s="19" t="str">
        <f>IFERROR(M7,"A1")</f>
        <v>Mexico</v>
      </c>
      <c r="J105" s="12">
        <f>IF(H105=1,COUNTIF($H$105:H105,1),"")</f>
        <v>1</v>
      </c>
      <c r="K105" s="20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2" ht="21.75" customHeight="1" x14ac:dyDescent="0.3">
      <c r="A106" s="12"/>
      <c r="B106" s="12"/>
      <c r="C106" s="12"/>
      <c r="D106" s="12"/>
      <c r="E106" s="12"/>
      <c r="F106" s="12"/>
      <c r="G106" s="12"/>
      <c r="H106" s="21">
        <v>1</v>
      </c>
      <c r="I106" s="22" t="str">
        <f>IFERROR(M8,"A2")</f>
        <v>Sør-Afrika</v>
      </c>
      <c r="J106" s="12">
        <f>IF(H106=1,COUNTIF($H$105:H106,1),"")</f>
        <v>2</v>
      </c>
      <c r="K106" s="2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2" ht="21.75" customHeight="1" x14ac:dyDescent="0.3">
      <c r="A107" s="12"/>
      <c r="B107" s="12"/>
      <c r="C107" s="12"/>
      <c r="D107" s="12"/>
      <c r="E107" s="12"/>
      <c r="F107" s="12"/>
      <c r="G107" s="12"/>
      <c r="H107" s="18">
        <v>1</v>
      </c>
      <c r="I107" s="19" t="str">
        <f>IFERROR(M15,"B1")</f>
        <v>Sveits</v>
      </c>
      <c r="J107" s="12">
        <f>IF(H107=1,COUNTIF($H$105:H107,1),"")</f>
        <v>3</v>
      </c>
      <c r="K107" s="20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2" ht="21.75" customHeight="1" x14ac:dyDescent="0.3">
      <c r="A108" s="12"/>
      <c r="B108" s="12"/>
      <c r="C108" s="12"/>
      <c r="D108" s="12"/>
      <c r="E108" s="12"/>
      <c r="F108" s="12"/>
      <c r="G108" s="12"/>
      <c r="H108" s="21"/>
      <c r="I108" s="22" t="str">
        <f>IFERROR(M16,"B2")</f>
        <v>Canada</v>
      </c>
      <c r="J108" s="12" t="str">
        <f>IF(H108=1,COUNTIF($H$105:H108,1),"")</f>
        <v/>
      </c>
      <c r="K108" s="2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2" ht="21.75" customHeight="1" x14ac:dyDescent="0.3">
      <c r="A109" s="12"/>
      <c r="B109" s="12"/>
      <c r="C109" s="12"/>
      <c r="D109" s="12"/>
      <c r="E109" s="12"/>
      <c r="F109" s="12"/>
      <c r="G109" s="12"/>
      <c r="H109" s="18">
        <v>1</v>
      </c>
      <c r="I109" s="19" t="str">
        <f>IFERROR(M23,"C1")</f>
        <v>Marokko</v>
      </c>
      <c r="J109" s="12">
        <f>IF(H109=1,COUNTIF($H$105:H109,1),"")</f>
        <v>4</v>
      </c>
      <c r="K109" s="20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2" ht="21.75" customHeight="1" x14ac:dyDescent="0.3">
      <c r="A110" s="12"/>
      <c r="B110" s="12"/>
      <c r="C110" s="12"/>
      <c r="D110" s="12"/>
      <c r="E110" s="12"/>
      <c r="F110" s="12"/>
      <c r="G110" s="12"/>
      <c r="H110" s="21"/>
      <c r="I110" s="22" t="str">
        <f>IFERROR(M24,"C2")</f>
        <v>Brasil</v>
      </c>
      <c r="J110" s="12" t="str">
        <f>IF(H110=1,COUNTIF($H$105:H110,1),"")</f>
        <v/>
      </c>
      <c r="K110" s="23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2" ht="21.75" customHeight="1" x14ac:dyDescent="0.3">
      <c r="A111" s="12"/>
      <c r="B111" s="12"/>
      <c r="C111" s="12"/>
      <c r="D111" s="12"/>
      <c r="E111" s="12"/>
      <c r="F111" s="12"/>
      <c r="G111" s="12"/>
      <c r="H111" s="18">
        <v>1</v>
      </c>
      <c r="I111" s="19" t="str">
        <f>IFERROR(M31,"D1")</f>
        <v>Tyrkia</v>
      </c>
      <c r="J111" s="12">
        <f>IF(H111=1,COUNTIF($H$105:H111,1),"")</f>
        <v>5</v>
      </c>
      <c r="K111" s="2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2" ht="21.75" customHeight="1" x14ac:dyDescent="0.3">
      <c r="A112" s="12"/>
      <c r="B112" s="12"/>
      <c r="C112" s="12"/>
      <c r="D112" s="12"/>
      <c r="E112" s="12"/>
      <c r="F112" s="12"/>
      <c r="G112" s="12"/>
      <c r="H112" s="21">
        <v>1</v>
      </c>
      <c r="I112" s="22" t="str">
        <f>IFERROR(M32,"D2")</f>
        <v>USA</v>
      </c>
      <c r="J112" s="12">
        <f>IF(H112=1,COUNTIF($H$105:H112,1),"")</f>
        <v>6</v>
      </c>
      <c r="K112" s="23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21.75" customHeight="1" x14ac:dyDescent="0.3">
      <c r="A113" s="12"/>
      <c r="B113" s="12"/>
      <c r="C113" s="12"/>
      <c r="D113" s="12"/>
      <c r="E113" s="12"/>
      <c r="F113" s="12"/>
      <c r="G113" s="12"/>
      <c r="H113" s="18">
        <v>1</v>
      </c>
      <c r="I113" s="19" t="str">
        <f>IFERROR(M39,"E1")</f>
        <v>Tyskland</v>
      </c>
      <c r="J113" s="12">
        <f>IF(H113=1,COUNTIF($H$105:H113,1),"")</f>
        <v>7</v>
      </c>
      <c r="K113" s="20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21.75" customHeight="1" x14ac:dyDescent="0.3">
      <c r="A114" s="12"/>
      <c r="B114" s="12"/>
      <c r="C114" s="12"/>
      <c r="D114" s="12"/>
      <c r="E114" s="12"/>
      <c r="F114" s="12"/>
      <c r="G114" s="12"/>
      <c r="H114" s="21"/>
      <c r="I114" s="22" t="str">
        <f>IFERROR(M40,"E2")</f>
        <v>Elfenbenskysten</v>
      </c>
      <c r="J114" s="12" t="str">
        <f>IF(H114=1,COUNTIF($H$105:H114,1),"")</f>
        <v/>
      </c>
      <c r="K114" s="2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21.75" customHeight="1" x14ac:dyDescent="0.3">
      <c r="A115" s="12"/>
      <c r="B115" s="12"/>
      <c r="C115" s="12"/>
      <c r="D115" s="12"/>
      <c r="E115" s="12"/>
      <c r="F115" s="12"/>
      <c r="G115" s="12"/>
      <c r="H115" s="18">
        <v>1</v>
      </c>
      <c r="I115" s="19" t="str">
        <f>IFERROR(M47,"F1")</f>
        <v>Nederland</v>
      </c>
      <c r="J115" s="12">
        <f>IF(H115=1,COUNTIF($H$105:H115,1),"")</f>
        <v>8</v>
      </c>
      <c r="K115" s="20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21.75" customHeight="1" x14ac:dyDescent="0.3">
      <c r="A116" s="12"/>
      <c r="B116" s="12"/>
      <c r="C116" s="12"/>
      <c r="D116" s="12"/>
      <c r="E116" s="12"/>
      <c r="F116" s="12"/>
      <c r="G116" s="12"/>
      <c r="H116" s="21"/>
      <c r="I116" s="22" t="str">
        <f>IFERROR(M48,"F2")</f>
        <v>Sverige</v>
      </c>
      <c r="J116" s="12" t="str">
        <f>IF(H116=1,COUNTIF($H$105:H116,1),"")</f>
        <v/>
      </c>
      <c r="K116" s="2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21.75" customHeight="1" x14ac:dyDescent="0.3">
      <c r="A117" s="12"/>
      <c r="B117" s="12"/>
      <c r="C117" s="12"/>
      <c r="D117" s="12"/>
      <c r="E117" s="12"/>
      <c r="F117" s="12"/>
      <c r="G117" s="12"/>
      <c r="H117" s="18">
        <v>1</v>
      </c>
      <c r="I117" s="19" t="str">
        <f>IFERROR(M55,"G1")</f>
        <v>Belgia</v>
      </c>
      <c r="J117" s="12">
        <f>IF(H117=1,COUNTIF($H$105:H117,1),"")</f>
        <v>9</v>
      </c>
      <c r="K117" s="20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21.75" customHeight="1" x14ac:dyDescent="0.3">
      <c r="A118" s="12"/>
      <c r="B118" s="12"/>
      <c r="C118" s="12"/>
      <c r="D118" s="12"/>
      <c r="E118" s="12"/>
      <c r="F118" s="12"/>
      <c r="G118" s="12"/>
      <c r="H118" s="21"/>
      <c r="I118" s="22" t="str">
        <f>IFERROR(M56,"G2")</f>
        <v>New Zealand</v>
      </c>
      <c r="J118" s="12" t="str">
        <f>IF(H118=1,COUNTIF($H$105:H118,1),"")</f>
        <v/>
      </c>
      <c r="K118" s="23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21.75" customHeight="1" x14ac:dyDescent="0.3">
      <c r="A119" s="12"/>
      <c r="B119" s="12"/>
      <c r="C119" s="12"/>
      <c r="D119" s="12"/>
      <c r="E119" s="12"/>
      <c r="F119" s="12"/>
      <c r="G119" s="12"/>
      <c r="H119" s="18">
        <v>1</v>
      </c>
      <c r="I119" s="19" t="str">
        <f>IFERROR(M63,"H1")</f>
        <v>Spania</v>
      </c>
      <c r="J119" s="12">
        <f>IF(H119=1,COUNTIF($H$105:H119,1),"")</f>
        <v>10</v>
      </c>
      <c r="K119" s="20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21.75" customHeight="1" x14ac:dyDescent="0.3">
      <c r="A120" s="12"/>
      <c r="B120" s="12"/>
      <c r="C120" s="12"/>
      <c r="D120" s="12"/>
      <c r="E120" s="12"/>
      <c r="F120" s="12"/>
      <c r="G120" s="12"/>
      <c r="H120" s="21"/>
      <c r="I120" s="22" t="str">
        <f>IFERROR(M64,"H2")</f>
        <v>Uruguay</v>
      </c>
      <c r="J120" s="12" t="str">
        <f>IF(H120=1,COUNTIF($H$105:H120,1),"")</f>
        <v/>
      </c>
      <c r="K120" s="2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21.75" customHeight="1" x14ac:dyDescent="0.3">
      <c r="A121" s="12"/>
      <c r="B121" s="12"/>
      <c r="C121" s="12"/>
      <c r="D121" s="12"/>
      <c r="E121" s="12"/>
      <c r="F121" s="12"/>
      <c r="G121" s="12"/>
      <c r="H121" s="18">
        <v>1</v>
      </c>
      <c r="I121" s="19" t="str">
        <f>IFERROR(M71,"I1")</f>
        <v>Frankrike</v>
      </c>
      <c r="J121" s="12">
        <f>IF(H121=1,COUNTIF($H$105:H121,1),"")</f>
        <v>11</v>
      </c>
      <c r="K121" s="20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21.75" customHeight="1" x14ac:dyDescent="0.3">
      <c r="A122" s="12"/>
      <c r="B122" s="12"/>
      <c r="C122" s="12"/>
      <c r="D122" s="12"/>
      <c r="E122" s="12"/>
      <c r="F122" s="12"/>
      <c r="G122" s="12"/>
      <c r="H122" s="21">
        <v>1</v>
      </c>
      <c r="I122" s="22" t="str">
        <f>IFERROR(M72,"I2")</f>
        <v>Norge</v>
      </c>
      <c r="J122" s="12">
        <f>IF(H122=1,COUNTIF($H$105:H122,1),"")</f>
        <v>12</v>
      </c>
      <c r="K122" s="2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21.75" customHeight="1" x14ac:dyDescent="0.3">
      <c r="A123" s="12"/>
      <c r="B123" s="12"/>
      <c r="C123" s="12"/>
      <c r="D123" s="12"/>
      <c r="E123" s="12"/>
      <c r="F123" s="12"/>
      <c r="G123" s="12"/>
      <c r="H123" s="18">
        <v>1</v>
      </c>
      <c r="I123" s="19" t="str">
        <f>IFERROR(M79,"J1")</f>
        <v>Argentina</v>
      </c>
      <c r="J123" s="12">
        <f>IF(H123=1,COUNTIF($H$105:H123,1),"")</f>
        <v>13</v>
      </c>
      <c r="K123" s="20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21.75" customHeight="1" x14ac:dyDescent="0.3">
      <c r="A124" s="12"/>
      <c r="B124" s="12"/>
      <c r="C124" s="12"/>
      <c r="D124" s="12"/>
      <c r="E124" s="12"/>
      <c r="F124" s="12"/>
      <c r="G124" s="12"/>
      <c r="H124" s="21"/>
      <c r="I124" s="22" t="str">
        <f>IFERROR(M80,"J2")</f>
        <v>Østerrike</v>
      </c>
      <c r="J124" s="12" t="str">
        <f>IF(H124=1,COUNTIF($H$105:H124,1),"")</f>
        <v/>
      </c>
      <c r="K124" s="2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21.75" customHeight="1" x14ac:dyDescent="0.3">
      <c r="A125" s="12"/>
      <c r="B125" s="12"/>
      <c r="C125" s="12"/>
      <c r="D125" s="12"/>
      <c r="E125" s="12"/>
      <c r="F125" s="12"/>
      <c r="G125" s="12"/>
      <c r="H125" s="18">
        <v>1</v>
      </c>
      <c r="I125" s="19" t="str">
        <f>IFERROR(M87,"K1")</f>
        <v>Portugal</v>
      </c>
      <c r="J125" s="12">
        <f>IF(H125=1,COUNTIF($H$105:H125,1),"")</f>
        <v>14</v>
      </c>
      <c r="K125" s="20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21.75" customHeight="1" x14ac:dyDescent="0.3">
      <c r="A126" s="12"/>
      <c r="B126" s="12"/>
      <c r="C126" s="12"/>
      <c r="D126" s="12"/>
      <c r="E126" s="12"/>
      <c r="F126" s="12"/>
      <c r="G126" s="12"/>
      <c r="H126" s="21"/>
      <c r="I126" s="22" t="str">
        <f>IFERROR(M88,"K2")</f>
        <v>Colombia</v>
      </c>
      <c r="J126" s="12" t="str">
        <f>IF(H126=1,COUNTIF($H$105:H126,1),"")</f>
        <v/>
      </c>
      <c r="K126" s="2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21.75" customHeight="1" x14ac:dyDescent="0.3">
      <c r="A127" s="12"/>
      <c r="B127" s="12"/>
      <c r="C127" s="12"/>
      <c r="D127" s="12"/>
      <c r="E127" s="12"/>
      <c r="F127" s="12"/>
      <c r="G127" s="12"/>
      <c r="H127" s="18">
        <v>1</v>
      </c>
      <c r="I127" s="19" t="str">
        <f>IFERROR(M95,"L1")</f>
        <v>England</v>
      </c>
      <c r="J127" s="12">
        <f>IF(H127=1,COUNTIF($H$105:H127,1),"")</f>
        <v>15</v>
      </c>
      <c r="K127" s="20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21.75" customHeight="1" x14ac:dyDescent="0.3">
      <c r="A128" s="12"/>
      <c r="B128" s="12"/>
      <c r="C128" s="12"/>
      <c r="D128" s="12"/>
      <c r="E128" s="12"/>
      <c r="F128" s="12"/>
      <c r="G128" s="12"/>
      <c r="H128" s="21">
        <v>1</v>
      </c>
      <c r="I128" s="22" t="str">
        <f>IFERROR(M96,"L2")</f>
        <v>Kroatia</v>
      </c>
      <c r="J128" s="12">
        <f>IF(H128=1,COUNTIF($H$105:H128,1),"")</f>
        <v>16</v>
      </c>
      <c r="K128" s="23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21.75" customHeight="1" x14ac:dyDescent="0.3">
      <c r="A129" s="12"/>
      <c r="B129" s="12"/>
      <c r="C129" s="12"/>
      <c r="D129" s="12"/>
      <c r="E129" s="12"/>
      <c r="F129" s="12"/>
      <c r="G129" s="12"/>
      <c r="H129" s="18"/>
      <c r="I129" s="19" t="str">
        <f>IFERROR(INDEX($A$300:$A$311,MATCH(1,$E$300:$E$311,0)),"")</f>
        <v>Senegal</v>
      </c>
      <c r="J129" s="12" t="str">
        <f>IF(H129=1,COUNTIF($H$105:H129,1),"")</f>
        <v/>
      </c>
      <c r="K129" s="20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21.75" customHeight="1" x14ac:dyDescent="0.3">
      <c r="A130" s="12"/>
      <c r="B130" s="12"/>
      <c r="C130" s="12"/>
      <c r="D130" s="12"/>
      <c r="E130" s="12"/>
      <c r="F130" s="12"/>
      <c r="G130" s="12"/>
      <c r="H130" s="21"/>
      <c r="I130" s="22" t="str">
        <f>IFERROR(INDEX($A$300:$A$311,MATCH(2,$E$300:$E$311,0)),"")</f>
        <v>Egypt</v>
      </c>
      <c r="J130" s="12" t="str">
        <f>IF(H130=1,COUNTIF($H$105:H130,1),"")</f>
        <v/>
      </c>
      <c r="K130" s="2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21.75" customHeight="1" x14ac:dyDescent="0.3">
      <c r="A131" s="12"/>
      <c r="B131" s="12"/>
      <c r="C131" s="12"/>
      <c r="D131" s="12"/>
      <c r="E131" s="12"/>
      <c r="F131" s="12"/>
      <c r="G131" s="12"/>
      <c r="H131" s="18"/>
      <c r="I131" s="19" t="str">
        <f>IFERROR(INDEX($A$300:$A$311,MATCH(3,$E$300:$E$311,0)),"")</f>
        <v>Ghana</v>
      </c>
      <c r="J131" s="12" t="str">
        <f>IF(H131=1,COUNTIF($H$105:H131,1),"")</f>
        <v/>
      </c>
      <c r="K131" s="2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21.75" customHeight="1" x14ac:dyDescent="0.3">
      <c r="A132" s="12"/>
      <c r="B132" s="12"/>
      <c r="C132" s="12"/>
      <c r="D132" s="12"/>
      <c r="E132" s="12"/>
      <c r="F132" s="12"/>
      <c r="G132" s="12"/>
      <c r="H132" s="21"/>
      <c r="I132" s="22" t="str">
        <f>IFERROR(INDEX($A$300:$A$311,MATCH(4,$E$300:$E$311,0)),"")</f>
        <v>Ecuador</v>
      </c>
      <c r="J132" s="12" t="str">
        <f>IF(H132=1,COUNTIF($H$105:H132,1),"")</f>
        <v/>
      </c>
      <c r="K132" s="2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21.75" customHeight="1" x14ac:dyDescent="0.3">
      <c r="A133" s="12"/>
      <c r="B133" s="12"/>
      <c r="C133" s="12"/>
      <c r="D133" s="12"/>
      <c r="E133" s="12"/>
      <c r="F133" s="12"/>
      <c r="G133" s="12"/>
      <c r="H133" s="18"/>
      <c r="I133" s="19" t="str">
        <f>IFERROR(INDEX($A$300:$A$311,MATCH(5,$E$300:$E$311,0)),"")</f>
        <v>Algerie</v>
      </c>
      <c r="J133" s="12" t="str">
        <f>IF(H133=1,COUNTIF($H$105:H133,1),"")</f>
        <v/>
      </c>
      <c r="K133" s="2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21.75" customHeight="1" x14ac:dyDescent="0.3">
      <c r="A134" s="12"/>
      <c r="B134" s="12"/>
      <c r="C134" s="12"/>
      <c r="D134" s="12"/>
      <c r="E134" s="12"/>
      <c r="F134" s="12"/>
      <c r="G134" s="12"/>
      <c r="H134" s="21"/>
      <c r="I134" s="22" t="str">
        <f>IFERROR(INDEX($A$300:$A$311,MATCH(6,$E$300:$E$311,0)),"")</f>
        <v>Sør-Korea</v>
      </c>
      <c r="J134" s="12" t="str">
        <f>IF(H134=1,COUNTIF($H$105:H134,1),"")</f>
        <v/>
      </c>
      <c r="K134" s="2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21.75" customHeight="1" x14ac:dyDescent="0.3">
      <c r="A135" s="12"/>
      <c r="B135" s="12"/>
      <c r="C135" s="12"/>
      <c r="D135" s="12"/>
      <c r="E135" s="12"/>
      <c r="F135" s="12"/>
      <c r="G135" s="12"/>
      <c r="H135" s="18"/>
      <c r="I135" s="19" t="str">
        <f>IFERROR(INDEX($A$300:$A$311,MATCH(7,$E$300:$E$311,0)),"")</f>
        <v>DR Kongo</v>
      </c>
      <c r="J135" s="12" t="str">
        <f>IF(H135=1,COUNTIF($H$105:H135,1),"")</f>
        <v/>
      </c>
      <c r="K135" s="2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21.75" customHeight="1" x14ac:dyDescent="0.3">
      <c r="A136" s="12"/>
      <c r="B136" s="12"/>
      <c r="C136" s="12"/>
      <c r="D136" s="12"/>
      <c r="E136" s="12"/>
      <c r="F136" s="12"/>
      <c r="G136" s="12"/>
      <c r="H136" s="21"/>
      <c r="I136" s="22" t="str">
        <f>IFERROR(INDEX($A$300:$A$311,MATCH(8,$E$300:$E$311,0)),"")</f>
        <v>Bosnia-Hercegovina</v>
      </c>
      <c r="J136" s="12" t="str">
        <f>IF(H136=1,COUNTIF($H$105:H136,1),"")</f>
        <v/>
      </c>
      <c r="K136" s="2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6" customHeight="1" x14ac:dyDescent="0.3">
      <c r="A137" s="12"/>
      <c r="B137" s="12"/>
      <c r="C137" s="12"/>
      <c r="D137" s="12"/>
      <c r="E137" s="12"/>
      <c r="F137" s="12"/>
      <c r="G137" s="12"/>
      <c r="H137" s="24"/>
      <c r="I137" s="24"/>
      <c r="J137" s="24"/>
      <c r="K137" s="24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24" customHeight="1" x14ac:dyDescent="0.3">
      <c r="A138" s="12"/>
      <c r="B138" s="12"/>
      <c r="C138" s="12"/>
      <c r="D138" s="12"/>
      <c r="E138" s="12"/>
      <c r="F138" s="12"/>
      <c r="G138" s="12"/>
      <c r="H138" s="25"/>
      <c r="I138" s="60" t="s">
        <v>161</v>
      </c>
      <c r="J138" s="60"/>
      <c r="K138" s="60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8" customHeight="1" x14ac:dyDescent="0.3">
      <c r="A139" s="12"/>
      <c r="B139" s="12"/>
      <c r="C139" s="12"/>
      <c r="D139" s="12"/>
      <c r="E139" s="12"/>
      <c r="F139" s="12"/>
      <c r="G139" s="12"/>
      <c r="H139" s="15" t="str">
        <f>COUNTIF(H140:H155,1)&amp;"/8"</f>
        <v>8/8</v>
      </c>
      <c r="I139" s="16" t="s">
        <v>18</v>
      </c>
      <c r="J139" s="12"/>
      <c r="K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21.75" customHeight="1" x14ac:dyDescent="0.3">
      <c r="A140" s="12"/>
      <c r="B140" s="12"/>
      <c r="C140" s="12"/>
      <c r="D140" s="12"/>
      <c r="E140" s="12"/>
      <c r="F140" s="12"/>
      <c r="G140" s="12"/>
      <c r="H140" s="26"/>
      <c r="I140" s="27" t="str">
        <f>IFERROR(INDEX($I$105:$I$136,MATCH(1,$J$105:$J$136,0)),"")</f>
        <v>Mexico</v>
      </c>
      <c r="J140" s="12" t="str">
        <f>IF(H140=1,COUNTIF($H$140:H140,1),"")</f>
        <v/>
      </c>
      <c r="K140" s="2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21.75" customHeight="1" x14ac:dyDescent="0.3">
      <c r="A141" s="12"/>
      <c r="B141" s="12"/>
      <c r="C141" s="12"/>
      <c r="D141" s="12"/>
      <c r="E141" s="12"/>
      <c r="F141" s="12"/>
      <c r="G141" s="12"/>
      <c r="H141" s="29"/>
      <c r="I141" s="30" t="str">
        <f>IFERROR(INDEX($I$105:$I$136,MATCH(2,$J$105:$J$136,0)),"")</f>
        <v>Sør-Afrika</v>
      </c>
      <c r="J141" s="12" t="str">
        <f>IF(H141=1,COUNTIF($H$140:H141,1),"")</f>
        <v/>
      </c>
      <c r="K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21.75" customHeight="1" x14ac:dyDescent="0.3">
      <c r="A142" s="12"/>
      <c r="B142" s="12"/>
      <c r="C142" s="12"/>
      <c r="D142" s="12"/>
      <c r="E142" s="12"/>
      <c r="F142" s="12"/>
      <c r="G142" s="12"/>
      <c r="H142" s="26"/>
      <c r="I142" s="27" t="str">
        <f>IFERROR(INDEX($I$105:$I$136,MATCH(3,$J$105:$J$136,0)),"")</f>
        <v>Sveits</v>
      </c>
      <c r="J142" s="12" t="str">
        <f>IF(H142=1,COUNTIF($H$140:H142,1),"")</f>
        <v/>
      </c>
      <c r="K142" s="2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21.75" customHeight="1" x14ac:dyDescent="0.3">
      <c r="A143" s="12"/>
      <c r="B143" s="12"/>
      <c r="C143" s="12"/>
      <c r="D143" s="12"/>
      <c r="E143" s="12"/>
      <c r="F143" s="12"/>
      <c r="G143" s="12"/>
      <c r="H143" s="29">
        <v>1</v>
      </c>
      <c r="I143" s="30" t="str">
        <f>IFERROR(INDEX($I$105:$I$136,MATCH(4,$J$105:$J$136,0)),"")</f>
        <v>Marokko</v>
      </c>
      <c r="J143" s="12">
        <f>IF(H143=1,COUNTIF($H$140:H143,1),"")</f>
        <v>1</v>
      </c>
      <c r="K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21.75" customHeight="1" x14ac:dyDescent="0.3">
      <c r="A144" s="12"/>
      <c r="B144" s="12"/>
      <c r="C144" s="12"/>
      <c r="D144" s="12"/>
      <c r="E144" s="12"/>
      <c r="F144" s="12"/>
      <c r="G144" s="12"/>
      <c r="H144" s="26"/>
      <c r="I144" s="27" t="str">
        <f>IFERROR(INDEX($I$105:$I$136,MATCH(5,$J$105:$J$136,0)),"")</f>
        <v>Tyrkia</v>
      </c>
      <c r="J144" s="12" t="str">
        <f>IF(H144=1,COUNTIF($H$140:H144,1),"")</f>
        <v/>
      </c>
      <c r="K144" s="2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21.75" customHeight="1" x14ac:dyDescent="0.3">
      <c r="A145" s="12"/>
      <c r="B145" s="12"/>
      <c r="C145" s="12"/>
      <c r="D145" s="12"/>
      <c r="E145" s="12"/>
      <c r="F145" s="12"/>
      <c r="G145" s="12"/>
      <c r="H145" s="29"/>
      <c r="I145" s="30" t="str">
        <f>IFERROR(INDEX($I$105:$I$136,MATCH(6,$J$105:$J$136,0)),"")</f>
        <v>USA</v>
      </c>
      <c r="J145" s="12" t="str">
        <f>IF(H145=1,COUNTIF($H$140:H145,1),"")</f>
        <v/>
      </c>
      <c r="K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21.75" customHeight="1" x14ac:dyDescent="0.3">
      <c r="A146" s="12"/>
      <c r="B146" s="12"/>
      <c r="C146" s="12"/>
      <c r="D146" s="12"/>
      <c r="E146" s="12"/>
      <c r="F146" s="12"/>
      <c r="G146" s="12"/>
      <c r="H146" s="26"/>
      <c r="I146" s="27" t="str">
        <f>IFERROR(INDEX($I$105:$I$136,MATCH(7,$J$105:$J$136,0)),"")</f>
        <v>Tyskland</v>
      </c>
      <c r="J146" s="12" t="str">
        <f>IF(H146=1,COUNTIF($H$140:H146,1),"")</f>
        <v/>
      </c>
      <c r="K146" s="2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21.75" customHeight="1" x14ac:dyDescent="0.3">
      <c r="A147" s="12"/>
      <c r="B147" s="12"/>
      <c r="C147" s="12"/>
      <c r="D147" s="12"/>
      <c r="E147" s="12"/>
      <c r="F147" s="12"/>
      <c r="G147" s="12"/>
      <c r="H147" s="29">
        <v>1</v>
      </c>
      <c r="I147" s="30" t="str">
        <f>IFERROR(INDEX($I$105:$I$136,MATCH(8,$J$105:$J$136,0)),"")</f>
        <v>Nederland</v>
      </c>
      <c r="J147" s="12">
        <f>IF(H147=1,COUNTIF($H$140:H147,1),"")</f>
        <v>2</v>
      </c>
      <c r="K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21.75" customHeight="1" x14ac:dyDescent="0.3">
      <c r="A148" s="12"/>
      <c r="B148" s="12"/>
      <c r="C148" s="12"/>
      <c r="D148" s="12"/>
      <c r="E148" s="12"/>
      <c r="F148" s="12"/>
      <c r="G148" s="12"/>
      <c r="H148" s="26">
        <v>1</v>
      </c>
      <c r="I148" s="27" t="str">
        <f>IFERROR(INDEX($I$105:$I$136,MATCH(9,$J$105:$J$136,0)),"")</f>
        <v>Belgia</v>
      </c>
      <c r="J148" s="12">
        <f>IF(H148=1,COUNTIF($H$140:H148,1),"")</f>
        <v>3</v>
      </c>
      <c r="K148" s="28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21.75" customHeight="1" x14ac:dyDescent="0.3">
      <c r="A149" s="12"/>
      <c r="B149" s="12"/>
      <c r="C149" s="12"/>
      <c r="D149" s="12"/>
      <c r="E149" s="12"/>
      <c r="F149" s="12"/>
      <c r="G149" s="12"/>
      <c r="H149" s="29">
        <v>1</v>
      </c>
      <c r="I149" s="30" t="str">
        <f>IFERROR(INDEX($I$105:$I$136,MATCH(10,$J$105:$J$136,0)),"")</f>
        <v>Spania</v>
      </c>
      <c r="J149" s="12">
        <f>IF(H149=1,COUNTIF($H$140:H149,1),"")</f>
        <v>4</v>
      </c>
      <c r="K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21.75" customHeight="1" x14ac:dyDescent="0.3">
      <c r="A150" s="12"/>
      <c r="B150" s="12"/>
      <c r="C150" s="12"/>
      <c r="D150" s="12"/>
      <c r="E150" s="12"/>
      <c r="F150" s="12"/>
      <c r="G150" s="12"/>
      <c r="H150" s="26">
        <v>1</v>
      </c>
      <c r="I150" s="27" t="str">
        <f>IFERROR(INDEX($I$105:$I$136,MATCH(11,$J$105:$J$136,0)),"")</f>
        <v>Frankrike</v>
      </c>
      <c r="J150" s="12">
        <f>IF(H150=1,COUNTIF($H$140:H150,1),"")</f>
        <v>5</v>
      </c>
      <c r="K150" s="28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21.75" customHeight="1" x14ac:dyDescent="0.3">
      <c r="A151" s="12"/>
      <c r="B151" s="12"/>
      <c r="C151" s="12"/>
      <c r="D151" s="12"/>
      <c r="E151" s="12"/>
      <c r="F151" s="12"/>
      <c r="G151" s="12"/>
      <c r="H151" s="29"/>
      <c r="I151" s="30" t="str">
        <f>IFERROR(INDEX($I$105:$I$136,MATCH(12,$J$105:$J$136,0)),"")</f>
        <v>Norge</v>
      </c>
      <c r="J151" s="12" t="str">
        <f>IF(H151=1,COUNTIF($H$140:H151,1),"")</f>
        <v/>
      </c>
      <c r="K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21.75" customHeight="1" x14ac:dyDescent="0.3">
      <c r="A152" s="12"/>
      <c r="B152" s="12"/>
      <c r="C152" s="12"/>
      <c r="D152" s="12"/>
      <c r="E152" s="12"/>
      <c r="F152" s="12"/>
      <c r="G152" s="12"/>
      <c r="H152" s="26">
        <v>1</v>
      </c>
      <c r="I152" s="27" t="str">
        <f>IFERROR(INDEX($I$105:$I$136,MATCH(13,$J$105:$J$136,0)),"")</f>
        <v>Argentina</v>
      </c>
      <c r="J152" s="12">
        <f>IF(H152=1,COUNTIF($H$140:H152,1),"")</f>
        <v>6</v>
      </c>
      <c r="K152" s="28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21.75" customHeight="1" x14ac:dyDescent="0.3">
      <c r="A153" s="12"/>
      <c r="B153" s="12"/>
      <c r="C153" s="12"/>
      <c r="D153" s="12"/>
      <c r="E153" s="12"/>
      <c r="F153" s="12"/>
      <c r="G153" s="12"/>
      <c r="H153" s="29">
        <v>1</v>
      </c>
      <c r="I153" s="30" t="str">
        <f>IFERROR(INDEX($I$105:$I$136,MATCH(14,$J$105:$J$136,0)),"")</f>
        <v>Portugal</v>
      </c>
      <c r="J153" s="12">
        <f>IF(H153=1,COUNTIF($H$140:H153,1),"")</f>
        <v>7</v>
      </c>
      <c r="K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21.75" customHeight="1" x14ac:dyDescent="0.3">
      <c r="A154" s="12"/>
      <c r="B154" s="12"/>
      <c r="C154" s="12"/>
      <c r="D154" s="12"/>
      <c r="E154" s="12"/>
      <c r="F154" s="12"/>
      <c r="G154" s="12"/>
      <c r="H154" s="26">
        <v>1</v>
      </c>
      <c r="I154" s="27" t="str">
        <f>IFERROR(INDEX($I$105:$I$136,MATCH(15,$J$105:$J$136,0)),"")</f>
        <v>England</v>
      </c>
      <c r="J154" s="12">
        <f>IF(H154=1,COUNTIF($H$140:H154,1),"")</f>
        <v>8</v>
      </c>
      <c r="K154" s="28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21.75" customHeight="1" x14ac:dyDescent="0.3">
      <c r="A155" s="12"/>
      <c r="B155" s="12"/>
      <c r="C155" s="12"/>
      <c r="D155" s="12"/>
      <c r="E155" s="12"/>
      <c r="F155" s="12"/>
      <c r="G155" s="12"/>
      <c r="H155" s="29"/>
      <c r="I155" s="30" t="str">
        <f>IFERROR(INDEX($I$105:$I$136,MATCH(16,$J$105:$J$136,0)),"")</f>
        <v>Kroatia</v>
      </c>
      <c r="J155" s="12" t="str">
        <f>IF(H155=1,COUNTIF($H$140:H155,1),"")</f>
        <v/>
      </c>
      <c r="K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6" customHeight="1" x14ac:dyDescent="0.3">
      <c r="A156" s="12"/>
      <c r="B156" s="12"/>
      <c r="C156" s="12"/>
      <c r="D156" s="12"/>
      <c r="E156" s="12"/>
      <c r="F156" s="12"/>
      <c r="G156" s="12"/>
      <c r="H156" s="24"/>
      <c r="I156" s="24"/>
      <c r="J156" s="24"/>
      <c r="K156" s="24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24" customHeight="1" x14ac:dyDescent="0.3">
      <c r="A157" s="12"/>
      <c r="B157" s="12"/>
      <c r="C157" s="12"/>
      <c r="D157" s="12"/>
      <c r="E157" s="12"/>
      <c r="F157" s="12"/>
      <c r="G157" s="12"/>
      <c r="H157" s="32"/>
      <c r="I157" s="53" t="s">
        <v>162</v>
      </c>
      <c r="J157" s="53"/>
      <c r="K157" s="53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8" customHeight="1" x14ac:dyDescent="0.3">
      <c r="A158" s="12"/>
      <c r="B158" s="12"/>
      <c r="C158" s="12"/>
      <c r="D158" s="12"/>
      <c r="E158" s="12"/>
      <c r="F158" s="12"/>
      <c r="G158" s="12"/>
      <c r="H158" s="15" t="str">
        <f>COUNTIF(H159:H166,1)&amp;"/4"</f>
        <v>4/4</v>
      </c>
      <c r="I158" s="16" t="s">
        <v>18</v>
      </c>
      <c r="J158" s="12"/>
      <c r="K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21.75" customHeight="1" x14ac:dyDescent="0.3">
      <c r="A159" s="12"/>
      <c r="B159" s="12"/>
      <c r="C159" s="12"/>
      <c r="D159" s="12"/>
      <c r="E159" s="12"/>
      <c r="F159" s="12"/>
      <c r="G159" s="12"/>
      <c r="H159" s="33">
        <v>1</v>
      </c>
      <c r="I159" s="34" t="str">
        <f>IFERROR(INDEX($I$140:$I$155,MATCH(1,$J$140:$J$155,0)),"")</f>
        <v>Marokko</v>
      </c>
      <c r="J159" s="12">
        <f>IF(H159=1,COUNTIF($H$159:H159,1),"")</f>
        <v>1</v>
      </c>
      <c r="K159" s="3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21.75" customHeight="1" x14ac:dyDescent="0.3">
      <c r="A160" s="12"/>
      <c r="B160" s="12"/>
      <c r="C160" s="12"/>
      <c r="D160" s="12"/>
      <c r="E160" s="12"/>
      <c r="F160" s="12"/>
      <c r="G160" s="12"/>
      <c r="H160" s="36"/>
      <c r="I160" s="37" t="str">
        <f>IFERROR(INDEX($I$140:$I$155,MATCH(2,$J$140:$J$155,0)),"")</f>
        <v>Nederland</v>
      </c>
      <c r="J160" s="12" t="str">
        <f>IF(H160=1,COUNTIF($H$159:H160,1),"")</f>
        <v/>
      </c>
      <c r="K160" s="38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21.75" customHeight="1" x14ac:dyDescent="0.3">
      <c r="A161" s="12"/>
      <c r="B161" s="12"/>
      <c r="C161" s="12"/>
      <c r="D161" s="12"/>
      <c r="E161" s="12"/>
      <c r="F161" s="12"/>
      <c r="G161" s="12"/>
      <c r="H161" s="33"/>
      <c r="I161" s="34" t="str">
        <f>IFERROR(INDEX($I$140:$I$155,MATCH(3,$J$140:$J$155,0)),"")</f>
        <v>Belgia</v>
      </c>
      <c r="J161" s="12" t="str">
        <f>IF(H161=1,COUNTIF($H$159:H161,1),"")</f>
        <v/>
      </c>
      <c r="K161" s="3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21.75" customHeight="1" x14ac:dyDescent="0.3">
      <c r="A162" s="12"/>
      <c r="B162" s="12"/>
      <c r="C162" s="12"/>
      <c r="D162" s="12"/>
      <c r="E162" s="12"/>
      <c r="F162" s="12"/>
      <c r="G162" s="12"/>
      <c r="H162" s="36">
        <v>1</v>
      </c>
      <c r="I162" s="37" t="str">
        <f>IFERROR(INDEX($I$140:$I$155,MATCH(4,$J$140:$J$155,0)),"")</f>
        <v>Spania</v>
      </c>
      <c r="J162" s="12">
        <f>IF(H162=1,COUNTIF($H$159:H162,1),"")</f>
        <v>2</v>
      </c>
      <c r="K162" s="38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21.75" customHeight="1" x14ac:dyDescent="0.3">
      <c r="A163" s="12"/>
      <c r="B163" s="12"/>
      <c r="C163" s="12"/>
      <c r="D163" s="12"/>
      <c r="E163" s="12"/>
      <c r="F163" s="12"/>
      <c r="G163" s="12"/>
      <c r="H163" s="33">
        <v>1</v>
      </c>
      <c r="I163" s="34" t="str">
        <f>IFERROR(INDEX($I$140:$I$155,MATCH(5,$J$140:$J$155,0)),"")</f>
        <v>Frankrike</v>
      </c>
      <c r="J163" s="12">
        <f>IF(H163=1,COUNTIF($H$159:H163,1),"")</f>
        <v>3</v>
      </c>
      <c r="K163" s="3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21.75" customHeight="1" x14ac:dyDescent="0.3">
      <c r="A164" s="12"/>
      <c r="B164" s="12"/>
      <c r="C164" s="12"/>
      <c r="D164" s="12"/>
      <c r="E164" s="12"/>
      <c r="F164" s="12"/>
      <c r="G164" s="12"/>
      <c r="H164" s="36">
        <v>1</v>
      </c>
      <c r="I164" s="37" t="str">
        <f>IFERROR(INDEX($I$140:$I$155,MATCH(6,$J$140:$J$155,0)),"")</f>
        <v>Argentina</v>
      </c>
      <c r="J164" s="12">
        <f>IF(H164=1,COUNTIF($H$159:H164,1),"")</f>
        <v>4</v>
      </c>
      <c r="K164" s="38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21.75" customHeight="1" x14ac:dyDescent="0.3">
      <c r="A165" s="12"/>
      <c r="B165" s="12"/>
      <c r="C165" s="12"/>
      <c r="D165" s="12"/>
      <c r="E165" s="12"/>
      <c r="F165" s="12"/>
      <c r="G165" s="12"/>
      <c r="H165" s="33"/>
      <c r="I165" s="34" t="str">
        <f>IFERROR(INDEX($I$140:$I$155,MATCH(7,$J$140:$J$155,0)),"")</f>
        <v>Portugal</v>
      </c>
      <c r="J165" s="12" t="str">
        <f>IF(H165=1,COUNTIF($H$159:H165,1),"")</f>
        <v/>
      </c>
      <c r="K165" s="3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21.75" customHeight="1" x14ac:dyDescent="0.3">
      <c r="A166" s="12"/>
      <c r="B166" s="12"/>
      <c r="C166" s="12"/>
      <c r="D166" s="12"/>
      <c r="E166" s="12"/>
      <c r="F166" s="12"/>
      <c r="G166" s="12"/>
      <c r="H166" s="36"/>
      <c r="I166" s="37" t="str">
        <f>IFERROR(INDEX($I$140:$I$155,MATCH(8,$J$140:$J$155,0)),"")</f>
        <v>England</v>
      </c>
      <c r="J166" s="12" t="str">
        <f>IF(H166=1,COUNTIF($H$159:H166,1),"")</f>
        <v/>
      </c>
      <c r="K166" s="38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6" customHeight="1" x14ac:dyDescent="0.3">
      <c r="A167" s="12"/>
      <c r="B167" s="12"/>
      <c r="C167" s="12"/>
      <c r="D167" s="12"/>
      <c r="E167" s="12"/>
      <c r="F167" s="12"/>
      <c r="G167" s="12"/>
      <c r="H167" s="24"/>
      <c r="I167" s="24"/>
      <c r="J167" s="24"/>
      <c r="K167" s="2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24" customHeight="1" x14ac:dyDescent="0.3">
      <c r="A168" s="12"/>
      <c r="B168" s="12"/>
      <c r="C168" s="12"/>
      <c r="D168" s="12"/>
      <c r="E168" s="12"/>
      <c r="F168" s="12"/>
      <c r="G168" s="12"/>
      <c r="H168" s="39"/>
      <c r="I168" s="54" t="s">
        <v>163</v>
      </c>
      <c r="J168" s="54"/>
      <c r="K168" s="5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8" customHeight="1" x14ac:dyDescent="0.3">
      <c r="A169" s="12"/>
      <c r="B169" s="12"/>
      <c r="C169" s="12"/>
      <c r="D169" s="12"/>
      <c r="E169" s="12"/>
      <c r="F169" s="12"/>
      <c r="G169" s="12"/>
      <c r="H169" s="15" t="str">
        <f>COUNTIF(H170:H173,1)&amp;"/2"</f>
        <v>2/2</v>
      </c>
      <c r="I169" s="16" t="s">
        <v>18</v>
      </c>
      <c r="J169" s="12"/>
      <c r="K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21.75" customHeight="1" x14ac:dyDescent="0.3">
      <c r="A170" s="12"/>
      <c r="B170" s="12"/>
      <c r="C170" s="12"/>
      <c r="D170" s="12"/>
      <c r="E170" s="12"/>
      <c r="F170" s="12"/>
      <c r="G170" s="12"/>
      <c r="H170" s="40">
        <v>1</v>
      </c>
      <c r="I170" s="41" t="str">
        <f>IFERROR(INDEX($I$159:$I$166,MATCH(1,$J$159:$J$166,0)),"")</f>
        <v>Marokko</v>
      </c>
      <c r="J170" s="12">
        <f>IF(H170=1,COUNTIF($H$170:H170,1),"")</f>
        <v>1</v>
      </c>
      <c r="K170" s="4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21.75" customHeight="1" x14ac:dyDescent="0.3">
      <c r="A171" s="12"/>
      <c r="B171" s="12"/>
      <c r="C171" s="12"/>
      <c r="D171" s="12"/>
      <c r="E171" s="12"/>
      <c r="F171" s="12"/>
      <c r="G171" s="12"/>
      <c r="H171" s="43">
        <v>1</v>
      </c>
      <c r="I171" s="44" t="str">
        <f>IFERROR(INDEX($I$159:$I$166,MATCH(2,$J$159:$J$166,0)),"")</f>
        <v>Spania</v>
      </c>
      <c r="J171" s="12">
        <f>IF(H171=1,COUNTIF($H$170:H171,1),"")</f>
        <v>2</v>
      </c>
      <c r="K171" s="4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21.75" customHeight="1" x14ac:dyDescent="0.3">
      <c r="A172" s="12"/>
      <c r="B172" s="12"/>
      <c r="C172" s="12"/>
      <c r="D172" s="12"/>
      <c r="E172" s="12"/>
      <c r="F172" s="12"/>
      <c r="G172" s="12"/>
      <c r="H172" s="40"/>
      <c r="I172" s="41" t="str">
        <f>IFERROR(INDEX($I$159:$I$166,MATCH(3,$J$159:$J$166,0)),"")</f>
        <v>Frankrike</v>
      </c>
      <c r="J172" s="12" t="str">
        <f>IF(H172=1,COUNTIF($H$170:H172,1),"")</f>
        <v/>
      </c>
      <c r="K172" s="4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21.75" customHeight="1" x14ac:dyDescent="0.3">
      <c r="A173" s="12"/>
      <c r="B173" s="12"/>
      <c r="C173" s="12"/>
      <c r="D173" s="12"/>
      <c r="E173" s="12"/>
      <c r="F173" s="12"/>
      <c r="G173" s="12"/>
      <c r="H173" s="43"/>
      <c r="I173" s="44" t="str">
        <f>IFERROR(INDEX($I$159:$I$166,MATCH(4,$J$159:$J$166,0)),"")</f>
        <v>Argentina</v>
      </c>
      <c r="J173" s="12" t="str">
        <f>IF(H173=1,COUNTIF($H$170:H173,1),"")</f>
        <v/>
      </c>
      <c r="K173" s="4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6" customHeight="1" x14ac:dyDescent="0.3">
      <c r="A174" s="12"/>
      <c r="B174" s="12"/>
      <c r="C174" s="12"/>
      <c r="D174" s="12"/>
      <c r="E174" s="12"/>
      <c r="F174" s="12"/>
      <c r="G174" s="12"/>
      <c r="H174" s="24"/>
      <c r="I174" s="24"/>
      <c r="J174" s="24"/>
      <c r="K174" s="2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24" customHeight="1" x14ac:dyDescent="0.3">
      <c r="A175" s="12"/>
      <c r="B175" s="12"/>
      <c r="C175" s="12"/>
      <c r="D175" s="12"/>
      <c r="E175" s="12"/>
      <c r="F175" s="12"/>
      <c r="G175" s="12"/>
      <c r="H175" s="46"/>
      <c r="I175" s="55" t="s">
        <v>164</v>
      </c>
      <c r="J175" s="55"/>
      <c r="K175" s="55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8" customHeight="1" x14ac:dyDescent="0.3">
      <c r="A176" s="12"/>
      <c r="B176" s="12"/>
      <c r="C176" s="12"/>
      <c r="D176" s="12"/>
      <c r="E176" s="12"/>
      <c r="F176" s="12"/>
      <c r="G176" s="12"/>
      <c r="H176" s="15" t="str">
        <f>COUNTIF(H177:H178,1)&amp;"/1"</f>
        <v>1/1</v>
      </c>
      <c r="I176" s="16" t="s">
        <v>18</v>
      </c>
      <c r="J176" s="12"/>
      <c r="K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21.75" customHeight="1" x14ac:dyDescent="0.3">
      <c r="A177" s="12"/>
      <c r="B177" s="12"/>
      <c r="C177" s="12"/>
      <c r="D177" s="12"/>
      <c r="E177" s="12"/>
      <c r="F177" s="12"/>
      <c r="G177" s="12"/>
      <c r="H177" s="47"/>
      <c r="I177" s="48" t="str">
        <f>IFERROR(INDEX($I$170:$I$173,MATCH(1,$J$170:$J$173,0)),"")</f>
        <v>Marokko</v>
      </c>
      <c r="J177" s="12" t="str">
        <f>IF(H177=1,COUNTIF($H$177:H177,1),"")</f>
        <v/>
      </c>
      <c r="K177" s="49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21.75" customHeight="1" x14ac:dyDescent="0.3">
      <c r="A178" s="12"/>
      <c r="B178" s="12"/>
      <c r="C178" s="12"/>
      <c r="D178" s="12"/>
      <c r="E178" s="12"/>
      <c r="F178" s="12"/>
      <c r="G178" s="12"/>
      <c r="H178" s="50">
        <v>1</v>
      </c>
      <c r="I178" s="51" t="str">
        <f>IFERROR(INDEX($I$170:$I$173,MATCH(2,$J$170:$J$173,0)),"")</f>
        <v>Spania</v>
      </c>
      <c r="J178" s="12">
        <f>IF(H178=1,COUNTIF($H$177:H178,1),"")</f>
        <v>1</v>
      </c>
      <c r="K178" s="5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6" customHeight="1" x14ac:dyDescent="0.3">
      <c r="A179" s="12"/>
      <c r="B179" s="12"/>
      <c r="C179" s="12"/>
      <c r="D179" s="12"/>
      <c r="E179" s="12"/>
      <c r="F179" s="12"/>
      <c r="G179" s="12"/>
      <c r="H179" s="24"/>
      <c r="I179" s="24"/>
      <c r="J179" s="24"/>
      <c r="K179" s="2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" customHeight="1" x14ac:dyDescent="0.3">
      <c r="A300" s="12" t="str">
        <f>M9</f>
        <v>Sør-Korea</v>
      </c>
      <c r="B300" s="12">
        <f>IFERROR(INDEX(AE7:AE10,MATCH(3,AF7:AF10,0)),0)</f>
        <v>3</v>
      </c>
      <c r="C300" s="12">
        <f>IFERROR(INDEX(AD7:AD10,MATCH(3,AF7:AF10,0)),0)</f>
        <v>-2</v>
      </c>
      <c r="D300" s="12">
        <f>IFERROR(INDEX(AB7:AB10,MATCH(3,AF7:AF10,0)),0)</f>
        <v>4</v>
      </c>
      <c r="E300" s="12">
        <f>1+((B301&gt;B300)+((B301=B300)*(C301&gt;C300))+((B301=B300)*(C301=C300)*(D301&gt;D300))+((B301=B300)*(C301=C300)*(D301=D300)*(F301&lt;F300))&gt;0)*1+((B302&gt;B300)+((B302=B300)*(C302&gt;C300))+((B302=B300)*(C302=C300)*(D302&gt;D300))+((B302=B300)*(C302=C300)*(D302=D300)*(F302&lt;F300))&gt;0)*1+((B303&gt;B300)+((B303=B300)*(C303&gt;C300))+((B303=B300)*(C303=C300)*(D303&gt;D300))+((B303=B300)*(C303=C300)*(D303=D300)*(F303&lt;F300))&gt;0)*1+((B304&gt;B300)+((B304=B300)*(C304&gt;C300))+((B304=B300)*(C304=C300)*(D304&gt;D300))+((B304=B300)*(C304=C300)*(D304=D300)*(F304&lt;F300))&gt;0)*1+((B305&gt;B300)+((B305=B300)*(C305&gt;C300))+((B305=B300)*(C305=C300)*(D305&gt;D300))+((B305=B300)*(C305=C300)*(D305=D300)*(F305&lt;F300))&gt;0)*1+((B306&gt;B300)+((B306=B300)*(C306&gt;C300))+((B306=B300)*(C306=C300)*(D306&gt;D300))+((B306=B300)*(C306=C300)*(D306=D300)*(F306&lt;F300))&gt;0)*1+((B307&gt;B300)+((B307=B300)*(C307&gt;C300))+((B307=B300)*(C307=C300)*(D307&gt;D300))+((B307=B300)*(C307=C300)*(D307=D300)*(F307&lt;F300))&gt;0)*1+((B308&gt;B300)+((B308=B300)*(C308&gt;C300))+((B308=B300)*(C308=C300)*(D308&gt;D300))+((B308=B300)*(C308=C300)*(D308=D300)*(F308&lt;F300))&gt;0)*1+((B309&gt;B300)+((B309=B300)*(C309&gt;C300))+((B309=B300)*(C309=C300)*(D309&gt;D300))+((B309=B300)*(C309=C300)*(D309=D300)*(F309&lt;F300))&gt;0)*1+((B310&gt;B300)+((B310=B300)*(C310&gt;C300))+((B310=B300)*(C310=C300)*(D310&gt;D300))+((B310=B300)*(C310=C300)*(D310=D300)*(F310&lt;F300))&gt;0)*1+((B311&gt;B300)+((B311=B300)*(C311&gt;C300))+((B311=B300)*(C311=C300)*(D311&gt;D300))+((B311=B300)*(C311=C300)*(D311=D300)*(F311&lt;F300))&gt;0)*1</f>
        <v>6</v>
      </c>
      <c r="F300" s="12">
        <f t="shared" ref="F300:F311" si="0">IFERROR(VLOOKUP(A300,$A$320:$B$367,2,0),999)</f>
        <v>25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" customHeight="1" x14ac:dyDescent="0.3">
      <c r="A301" s="12" t="str">
        <f>M17</f>
        <v>Bosnia-Hercegovina</v>
      </c>
      <c r="B301" s="12">
        <f>IFERROR(INDEX(AE15:AE18,MATCH(3,AF15:AF18,0)),0)</f>
        <v>3</v>
      </c>
      <c r="C301" s="12">
        <f>IFERROR(INDEX(AD15:AD18,MATCH(3,AF15:AF18,0)),0)</f>
        <v>-2</v>
      </c>
      <c r="D301" s="12">
        <f>IFERROR(INDEX(AB15:AB18,MATCH(3,AF15:AF18,0)),0)</f>
        <v>2</v>
      </c>
      <c r="E301" s="12">
        <f>1+((B300&gt;B301)+((B300=B301)*(C300&gt;C301))+((B300=B301)*(C300=C301)*(D300&gt;D301))+((B300=B301)*(C300=C301)*(D300=D301)*(F300&lt;F301))&gt;0)*1+((B302&gt;B301)+((B302=B301)*(C302&gt;C301))+((B302=B301)*(C302=C301)*(D302&gt;D301))+((B302=B301)*(C302=C301)*(D302=D301)*(F302&lt;F301))&gt;0)*1+((B303&gt;B301)+((B303=B301)*(C303&gt;C301))+((B303=B301)*(C303=C301)*(D303&gt;D301))+((B303=B301)*(C303=C301)*(D303=D301)*(F303&lt;F301))&gt;0)*1+((B304&gt;B301)+((B304=B301)*(C304&gt;C301))+((B304=B301)*(C304=C301)*(D304&gt;D301))+((B304=B301)*(C304=C301)*(D304=D301)*(F304&lt;F301))&gt;0)*1+((B305&gt;B301)+((B305=B301)*(C305&gt;C301))+((B305=B301)*(C305=C301)*(D305&gt;D301))+((B305=B301)*(C305=C301)*(D305=D301)*(F305&lt;F301))&gt;0)*1+((B306&gt;B301)+((B306=B301)*(C306&gt;C301))+((B306=B301)*(C306=C301)*(D306&gt;D301))+((B306=B301)*(C306=C301)*(D306=D301)*(F306&lt;F301))&gt;0)*1+((B307&gt;B301)+((B307=B301)*(C307&gt;C301))+((B307=B301)*(C307=C301)*(D307&gt;D301))+((B307=B301)*(C307=C301)*(D307=D301)*(F307&lt;F301))&gt;0)*1+((B308&gt;B301)+((B308=B301)*(C308&gt;C301))+((B308=B301)*(C308=C301)*(D308&gt;D301))+((B308=B301)*(C308=C301)*(D308=D301)*(F308&lt;F301))&gt;0)*1+((B309&gt;B301)+((B309=B301)*(C309&gt;C301))+((B309=B301)*(C309=C301)*(D309&gt;D301))+((B309=B301)*(C309=C301)*(D309=D301)*(F309&lt;F301))&gt;0)*1+((B310&gt;B301)+((B310=B301)*(C310&gt;C301))+((B310=B301)*(C310=C301)*(D310&gt;D301))+((B310=B301)*(C310=C301)*(D310=D301)*(F310&lt;F301))&gt;0)*1+((B311&gt;B301)+((B311=B301)*(C311&gt;C301))+((B311=B301)*(C311=C301)*(D311&gt;D301))+((B311=B301)*(C311=C301)*(D311=D301)*(F311&lt;F301))&gt;0)*1</f>
        <v>8</v>
      </c>
      <c r="F301" s="12">
        <f t="shared" si="0"/>
        <v>65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" customHeight="1" x14ac:dyDescent="0.3">
      <c r="A302" s="12" t="str">
        <f>M25</f>
        <v>Haiti</v>
      </c>
      <c r="B302" s="12">
        <f>IFERROR(INDEX(AE23:AE26,MATCH(3,AF23:AF26,0)),0)</f>
        <v>3</v>
      </c>
      <c r="C302" s="12">
        <f>IFERROR(INDEX(AD23:AD26,MATCH(3,AF23:AF26,0)),0)</f>
        <v>-5</v>
      </c>
      <c r="D302" s="12">
        <f>IFERROR(INDEX(AB23:AB26,MATCH(3,AF23:AF26,0)),0)</f>
        <v>3</v>
      </c>
      <c r="E302" s="12">
        <f>1+((B300&gt;B302)+((B300=B302)*(C300&gt;C302))+((B300=B302)*(C300=C302)*(D300&gt;D302))+((B300=B302)*(C300=C302)*(D300=D302)*(F300&lt;F302))&gt;0)*1+((B301&gt;B302)+((B301=B302)*(C301&gt;C302))+((B301=B302)*(C301=C302)*(D301&gt;D302))+((B301=B302)*(C301=C302)*(D301=D302)*(F301&lt;F302))&gt;0)*1+((B303&gt;B302)+((B303=B302)*(C303&gt;C302))+((B303=B302)*(C303=C302)*(D303&gt;D302))+((B303=B302)*(C303=C302)*(D303=D302)*(F303&lt;F302))&gt;0)*1+((B304&gt;B302)+((B304=B302)*(C304&gt;C302))+((B304=B302)*(C304=C302)*(D304&gt;D302))+((B304=B302)*(C304=C302)*(D304=D302)*(F304&lt;F302))&gt;0)*1+((B305&gt;B302)+((B305=B302)*(C305&gt;C302))+((B305=B302)*(C305=C302)*(D305&gt;D302))+((B305=B302)*(C305=C302)*(D305=D302)*(F305&lt;F302))&gt;0)*1+((B306&gt;B302)+((B306=B302)*(C306&gt;C302))+((B306=B302)*(C306=C302)*(D306&gt;D302))+((B306=B302)*(C306=C302)*(D306=D302)*(F306&lt;F302))&gt;0)*1+((B307&gt;B302)+((B307=B302)*(C307&gt;C302))+((B307=B302)*(C307=C302)*(D307&gt;D302))+((B307=B302)*(C307=C302)*(D307=D302)*(F307&lt;F302))&gt;0)*1+((B308&gt;B302)+((B308=B302)*(C308&gt;C302))+((B308=B302)*(C308=C302)*(D308&gt;D302))+((B308=B302)*(C308=C302)*(D308=D302)*(F308&lt;F302))&gt;0)*1+((B309&gt;B302)+((B309=B302)*(C309&gt;C302))+((B309=B302)*(C309=C302)*(D309&gt;D302))+((B309=B302)*(C309=C302)*(D309=D302)*(F309&lt;F302))&gt;0)*1+((B310&gt;B302)+((B310=B302)*(C310&gt;C302))+((B310=B302)*(C310=C302)*(D310&gt;D302))+((B310=B302)*(C310=C302)*(D310=D302)*(F310&lt;F302))&gt;0)*1+((B311&gt;B302)+((B311=B302)*(C311&gt;C302))+((B311=B302)*(C311=C302)*(D311&gt;D302))+((B311=B302)*(C311=C302)*(D311=D302)*(F311&lt;F302))&gt;0)*1</f>
        <v>9</v>
      </c>
      <c r="F302" s="12">
        <f t="shared" si="0"/>
        <v>83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" customHeight="1" x14ac:dyDescent="0.3">
      <c r="A303" s="12" t="str">
        <f>M33</f>
        <v>Australia</v>
      </c>
      <c r="B303" s="12">
        <f>IFERROR(INDEX(AE31:AE34,MATCH(3,AF31:AF34,0)),0)</f>
        <v>2</v>
      </c>
      <c r="C303" s="12">
        <f>IFERROR(INDEX(AD31:AD34,MATCH(3,AF31:AF34,0)),0)</f>
        <v>-1</v>
      </c>
      <c r="D303" s="12">
        <f>IFERROR(INDEX(AB31:AB34,MATCH(3,AF31:AF34,0)),0)</f>
        <v>3</v>
      </c>
      <c r="E303" s="12">
        <f>1+((B300&gt;B303)+((B300=B303)*(C300&gt;C303))+((B300=B303)*(C300=C303)*(D300&gt;D303))+((B300=B303)*(C300=C303)*(D300=D303)*(F300&lt;F303))&gt;0)*1+((B301&gt;B303)+((B301=B303)*(C301&gt;C303))+((B301=B303)*(C301=C303)*(D301&gt;D303))+((B301=B303)*(C301=C303)*(D301=D303)*(F301&lt;F303))&gt;0)*1+((B302&gt;B303)+((B302=B303)*(C302&gt;C303))+((B302=B303)*(C302=C303)*(D302&gt;D303))+((B302=B303)*(C302=C303)*(D302=D303)*(F302&lt;F303))&gt;0)*1+((B304&gt;B303)+((B304=B303)*(C304&gt;C303))+((B304=B303)*(C304=C303)*(D304&gt;D303))+((B304=B303)*(C304=C303)*(D304=D303)*(F304&lt;F303))&gt;0)*1+((B305&gt;B303)+((B305=B303)*(C305&gt;C303))+((B305=B303)*(C305=C303)*(D305&gt;D303))+((B305=B303)*(C305=C303)*(D305=D303)*(F305&lt;F303))&gt;0)*1+((B306&gt;B303)+((B306=B303)*(C306&gt;C303))+((B306=B303)*(C306=C303)*(D306&gt;D303))+((B306=B303)*(C306=C303)*(D306=D303)*(F306&lt;F303))&gt;0)*1+((B307&gt;B303)+((B307=B303)*(C307&gt;C303))+((B307=B303)*(C307=C303)*(D307&gt;D303))+((B307=B303)*(C307=C303)*(D307=D303)*(F307&lt;F303))&gt;0)*1+((B308&gt;B303)+((B308=B303)*(C308&gt;C303))+((B308=B303)*(C308=C303)*(D308&gt;D303))+((B308=B303)*(C308=C303)*(D308=D303)*(F308&lt;F303))&gt;0)*1+((B309&gt;B303)+((B309=B303)*(C309&gt;C303))+((B309=B303)*(C309=C303)*(D309&gt;D303))+((B309=B303)*(C309=C303)*(D309=D303)*(F309&lt;F303))&gt;0)*1+((B310&gt;B303)+((B310=B303)*(C310&gt;C303))+((B310=B303)*(C310=C303)*(D310&gt;D303))+((B310=B303)*(C310=C303)*(D310=D303)*(F310&lt;F303))&gt;0)*1+((B311&gt;B303)+((B311=B303)*(C311&gt;C303))+((B311=B303)*(C311=C303)*(D311&gt;D303))+((B311=B303)*(C311=C303)*(D311=D303)*(F311&lt;F303))&gt;0)*1</f>
        <v>10</v>
      </c>
      <c r="F303" s="12">
        <f t="shared" si="0"/>
        <v>27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" customHeight="1" x14ac:dyDescent="0.3">
      <c r="A304" s="12" t="str">
        <f>M41</f>
        <v>Ecuador</v>
      </c>
      <c r="B304" s="12">
        <f>IFERROR(INDEX(AE39:AE42,MATCH(3,AF39:AF42,0)),0)</f>
        <v>3</v>
      </c>
      <c r="C304" s="12">
        <f>IFERROR(INDEX(AD39:AD42,MATCH(3,AF39:AF42,0)),0)</f>
        <v>-1</v>
      </c>
      <c r="D304" s="12">
        <f>IFERROR(INDEX(AB39:AB42,MATCH(3,AF39:AF42,0)),0)</f>
        <v>7</v>
      </c>
      <c r="E304" s="12">
        <f>1+((B300&gt;B304)+((B300=B304)*(C300&gt;C304))+((B300=B304)*(C300=C304)*(D300&gt;D304))+((B300=B304)*(C300=C304)*(D300=D304)*(F300&lt;F304))&gt;0)*1+((B301&gt;B304)+((B301=B304)*(C301&gt;C304))+((B301=B304)*(C301=C304)*(D301&gt;D304))+((B301=B304)*(C301=C304)*(D301=D304)*(F301&lt;F304))&gt;0)*1+((B302&gt;B304)+((B302=B304)*(C302&gt;C304))+((B302=B304)*(C302=C304)*(D302&gt;D304))+((B302=B304)*(C302=C304)*(D302=D304)*(F302&lt;F304))&gt;0)*1+((B303&gt;B304)+((B303=B304)*(C303&gt;C304))+((B303=B304)*(C303=C304)*(D303&gt;D304))+((B303=B304)*(C303=C304)*(D303=D304)*(F303&lt;F304))&gt;0)*1+((B305&gt;B304)+((B305=B304)*(C305&gt;C304))+((B305=B304)*(C305=C304)*(D305&gt;D304))+((B305=B304)*(C305=C304)*(D305=D304)*(F305&lt;F304))&gt;0)*1+((B306&gt;B304)+((B306=B304)*(C306&gt;C304))+((B306=B304)*(C306=C304)*(D306&gt;D304))+((B306=B304)*(C306=C304)*(D306=D304)*(F306&lt;F304))&gt;0)*1+((B307&gt;B304)+((B307=B304)*(C307&gt;C304))+((B307=B304)*(C307=C304)*(D307&gt;D304))+((B307=B304)*(C307=C304)*(D307=D304)*(F307&lt;F304))&gt;0)*1+((B308&gt;B304)+((B308=B304)*(C308&gt;C304))+((B308=B304)*(C308=C304)*(D308&gt;D304))+((B308=B304)*(C308=C304)*(D308=D304)*(F308&lt;F304))&gt;0)*1+((B309&gt;B304)+((B309=B304)*(C309&gt;C304))+((B309=B304)*(C309=C304)*(D309&gt;D304))+((B309=B304)*(C309=C304)*(D309=D304)*(F309&lt;F304))&gt;0)*1+((B310&gt;B304)+((B310=B304)*(C310&gt;C304))+((B310=B304)*(C310=C304)*(D310&gt;D304))+((B310=B304)*(C310=C304)*(D310=D304)*(F310&lt;F304))&gt;0)*1+((B311&gt;B304)+((B311=B304)*(C311&gt;C304))+((B311=B304)*(C311=C304)*(D311&gt;D304))+((B311=B304)*(C311=C304)*(D311=D304)*(F311&lt;F304))&gt;0)*1</f>
        <v>4</v>
      </c>
      <c r="F304" s="12">
        <f t="shared" si="0"/>
        <v>23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" customHeight="1" x14ac:dyDescent="0.3">
      <c r="A305" s="12" t="str">
        <f>M49</f>
        <v>Tunisia</v>
      </c>
      <c r="B305" s="12">
        <f>IFERROR(INDEX(AE47:AE50,MATCH(3,AF47:AF50,0)),0)</f>
        <v>2</v>
      </c>
      <c r="C305" s="12">
        <f>IFERROR(INDEX(AD47:AD50,MATCH(3,AF47:AF50,0)),0)</f>
        <v>-2</v>
      </c>
      <c r="D305" s="12">
        <f>IFERROR(INDEX(AB47:AB50,MATCH(3,AF47:AF50,0)),0)</f>
        <v>2</v>
      </c>
      <c r="E305" s="12">
        <f>1+((B300&gt;B305)+((B300=B305)*(C300&gt;C305))+((B300=B305)*(C300=C305)*(D300&gt;D305))+((B300=B305)*(C300=C305)*(D300=D305)*(F300&lt;F305))&gt;0)*1+((B301&gt;B305)+((B301=B305)*(C301&gt;C305))+((B301=B305)*(C301=C305)*(D301&gt;D305))+((B301=B305)*(C301=C305)*(D301=D305)*(F301&lt;F305))&gt;0)*1+((B302&gt;B305)+((B302=B305)*(C302&gt;C305))+((B302=B305)*(C302=C305)*(D302&gt;D305))+((B302=B305)*(C302=C305)*(D302=D305)*(F302&lt;F305))&gt;0)*1+((B303&gt;B305)+((B303=B305)*(C303&gt;C305))+((B303=B305)*(C303=C305)*(D303&gt;D305))+((B303=B305)*(C303=C305)*(D303=D305)*(F303&lt;F305))&gt;0)*1+((B304&gt;B305)+((B304=B305)*(C304&gt;C305))+((B304=B305)*(C304=C305)*(D304&gt;D305))+((B304=B305)*(C304=C305)*(D304=D305)*(F304&lt;F305))&gt;0)*1+((B306&gt;B305)+((B306=B305)*(C306&gt;C305))+((B306=B305)*(C306=C305)*(D306&gt;D305))+((B306=B305)*(C306=C305)*(D306=D305)*(F306&lt;F305))&gt;0)*1+((B307&gt;B305)+((B307=B305)*(C307&gt;C305))+((B307=B305)*(C307=C305)*(D307&gt;D305))+((B307=B305)*(C307=C305)*(D307=D305)*(F307&lt;F305))&gt;0)*1+((B308&gt;B305)+((B308=B305)*(C308&gt;C305))+((B308=B305)*(C308=C305)*(D308&gt;D305))+((B308=B305)*(C308=C305)*(D308=D305)*(F308&lt;F305))&gt;0)*1+((B309&gt;B305)+((B309=B305)*(C309&gt;C305))+((B309=B305)*(C309=C305)*(D309&gt;D305))+((B309=B305)*(C309=C305)*(D309=D305)*(F309&lt;F305))&gt;0)*1+((B310&gt;B305)+((B310=B305)*(C310&gt;C305))+((B310=B305)*(C310=C305)*(D310&gt;D305))+((B310=B305)*(C310=C305)*(D310=D305)*(F310&lt;F305))&gt;0)*1+((B311&gt;B305)+((B311=B305)*(C311&gt;C305))+((B311=B305)*(C311=C305)*(D311&gt;D305))+((B311=B305)*(C311=C305)*(D311=D305)*(F311&lt;F305))&gt;0)*1</f>
        <v>11</v>
      </c>
      <c r="F305" s="12">
        <f t="shared" si="0"/>
        <v>44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" customHeight="1" x14ac:dyDescent="0.3">
      <c r="A306" s="12" t="str">
        <f>M57</f>
        <v>Egypt</v>
      </c>
      <c r="B306" s="12">
        <f>IFERROR(INDEX(AE55:AE58,MATCH(3,AF55:AF58,0)),0)</f>
        <v>4</v>
      </c>
      <c r="C306" s="12">
        <f>IFERROR(INDEX(AD55:AD58,MATCH(3,AF55:AF58,0)),0)</f>
        <v>0</v>
      </c>
      <c r="D306" s="12">
        <f>IFERROR(INDEX(AB55:AB58,MATCH(3,AF55:AF58,0)),0)</f>
        <v>5</v>
      </c>
      <c r="E306" s="12">
        <f>1+((B300&gt;B306)+((B300=B306)*(C300&gt;C306))+((B300=B306)*(C300=C306)*(D300&gt;D306))+((B300=B306)*(C300=C306)*(D300=D306)*(F300&lt;F306))&gt;0)*1+((B301&gt;B306)+((B301=B306)*(C301&gt;C306))+((B301=B306)*(C301=C306)*(D301&gt;D306))+((B301=B306)*(C301=C306)*(D301=D306)*(F301&lt;F306))&gt;0)*1+((B302&gt;B306)+((B302=B306)*(C302&gt;C306))+((B302=B306)*(C302=C306)*(D302&gt;D306))+((B302=B306)*(C302=C306)*(D302=D306)*(F302&lt;F306))&gt;0)*1+((B303&gt;B306)+((B303=B306)*(C303&gt;C306))+((B303=B306)*(C303=C306)*(D303&gt;D306))+((B303=B306)*(C303=C306)*(D303=D306)*(F303&lt;F306))&gt;0)*1+((B304&gt;B306)+((B304=B306)*(C304&gt;C306))+((B304=B306)*(C304=C306)*(D304&gt;D306))+((B304=B306)*(C304=C306)*(D304=D306)*(F304&lt;F306))&gt;0)*1+((B305&gt;B306)+((B305=B306)*(C305&gt;C306))+((B305=B306)*(C305=C306)*(D305&gt;D306))+((B305=B306)*(C305=C306)*(D305=D306)*(F305&lt;F306))&gt;0)*1+((B307&gt;B306)+((B307=B306)*(C307&gt;C306))+((B307=B306)*(C307=C306)*(D307&gt;D306))+((B307=B306)*(C307=C306)*(D307=D306)*(F307&lt;F306))&gt;0)*1+((B308&gt;B306)+((B308=B306)*(C308&gt;C306))+((B308=B306)*(C308=C306)*(D308&gt;D306))+((B308=B306)*(C308=C306)*(D308=D306)*(F308&lt;F306))&gt;0)*1+((B309&gt;B306)+((B309=B306)*(C309&gt;C306))+((B309=B306)*(C309=C306)*(D309&gt;D306))+((B309=B306)*(C309=C306)*(D309=D306)*(F309&lt;F306))&gt;0)*1+((B310&gt;B306)+((B310=B306)*(C310&gt;C306))+((B310=B306)*(C310=C306)*(D310&gt;D306))+((B310=B306)*(C310=C306)*(D310=D306)*(F310&lt;F306))&gt;0)*1+((B311&gt;B306)+((B311=B306)*(C311&gt;C306))+((B311=B306)*(C311=C306)*(D311&gt;D306))+((B311=B306)*(C311=C306)*(D311=D306)*(F311&lt;F306))&gt;0)*1</f>
        <v>2</v>
      </c>
      <c r="F306" s="12">
        <f t="shared" si="0"/>
        <v>29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" customHeight="1" x14ac:dyDescent="0.3">
      <c r="A307" s="12" t="str">
        <f>M65</f>
        <v>Saudi Arabia</v>
      </c>
      <c r="B307" s="12">
        <f>IFERROR(INDEX(AE63:AE66,MATCH(3,AF63:AF66,0)),0)</f>
        <v>1</v>
      </c>
      <c r="C307" s="12">
        <f>IFERROR(INDEX(AD63:AD66,MATCH(3,AF63:AF66,0)),0)</f>
        <v>-3</v>
      </c>
      <c r="D307" s="12">
        <f>IFERROR(INDEX(AB63:AB66,MATCH(3,AF63:AF66,0)),0)</f>
        <v>1</v>
      </c>
      <c r="E307" s="12">
        <f>1+((B300&gt;B307)+((B300=B307)*(C300&gt;C307))+((B300=B307)*(C300=C307)*(D300&gt;D307))+((B300=B307)*(C300=C307)*(D300=D307)*(F300&lt;F307))&gt;0)*1+((B301&gt;B307)+((B301=B307)*(C301&gt;C307))+((B301=B307)*(C301=C307)*(D301&gt;D307))+((B301=B307)*(C301=C307)*(D301=D307)*(F301&lt;F307))&gt;0)*1+((B302&gt;B307)+((B302=B307)*(C302&gt;C307))+((B302=B307)*(C302=C307)*(D302&gt;D307))+((B302=B307)*(C302=C307)*(D302=D307)*(F302&lt;F307))&gt;0)*1+((B303&gt;B307)+((B303=B307)*(C303&gt;C307))+((B303=B307)*(C303=C307)*(D303&gt;D307))+((B303=B307)*(C303=C307)*(D303=D307)*(F303&lt;F307))&gt;0)*1+((B304&gt;B307)+((B304=B307)*(C304&gt;C307))+((B304=B307)*(C304=C307)*(D304&gt;D307))+((B304=B307)*(C304=C307)*(D304=D307)*(F304&lt;F307))&gt;0)*1+((B305&gt;B307)+((B305=B307)*(C305&gt;C307))+((B305=B307)*(C305=C307)*(D305&gt;D307))+((B305=B307)*(C305=C307)*(D305=D307)*(F305&lt;F307))&gt;0)*1+((B306&gt;B307)+((B306=B307)*(C306&gt;C307))+((B306=B307)*(C306=C307)*(D306&gt;D307))+((B306=B307)*(C306=C307)*(D306=D307)*(F306&lt;F307))&gt;0)*1+((B308&gt;B307)+((B308=B307)*(C308&gt;C307))+((B308=B307)*(C308=C307)*(D308&gt;D307))+((B308=B307)*(C308=C307)*(D308=D307)*(F308&lt;F307))&gt;0)*1+((B309&gt;B307)+((B309=B307)*(C309&gt;C307))+((B309=B307)*(C309=C307)*(D309&gt;D307))+((B309=B307)*(C309=C307)*(D309=D307)*(F309&lt;F307))&gt;0)*1+((B310&gt;B307)+((B310=B307)*(C310&gt;C307))+((B310=B307)*(C310=C307)*(D310&gt;D307))+((B310=B307)*(C310=C307)*(D310=D307)*(F310&lt;F307))&gt;0)*1+((B311&gt;B307)+((B311=B307)*(C311&gt;C307))+((B311=B307)*(C311=C307)*(D311&gt;D307))+((B311=B307)*(C311=C307)*(D311=D307)*(F311&lt;F307))&gt;0)*1</f>
        <v>12</v>
      </c>
      <c r="F307" s="12">
        <f t="shared" si="0"/>
        <v>61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" customHeight="1" x14ac:dyDescent="0.3">
      <c r="A308" s="12" t="str">
        <f>M73</f>
        <v>Senegal</v>
      </c>
      <c r="B308" s="12">
        <f>IFERROR(INDEX(AE71:AE74,MATCH(3,AF71:AF74,0)),0)</f>
        <v>4</v>
      </c>
      <c r="C308" s="12">
        <f>IFERROR(INDEX(AD71:AD74,MATCH(3,AF71:AF74,0)),0)</f>
        <v>1</v>
      </c>
      <c r="D308" s="12">
        <f>IFERROR(INDEX(AB71:AB74,MATCH(3,AF71:AF74,0)),0)</f>
        <v>4</v>
      </c>
      <c r="E308" s="12">
        <f>1+((B300&gt;B308)+((B300=B308)*(C300&gt;C308))+((B300=B308)*(C300=C308)*(D300&gt;D308))+((B300=B308)*(C300=C308)*(D300=D308)*(F300&lt;F308))&gt;0)*1+((B301&gt;B308)+((B301=B308)*(C301&gt;C308))+((B301=B308)*(C301=C308)*(D301&gt;D308))+((B301=B308)*(C301=C308)*(D301=D308)*(F301&lt;F308))&gt;0)*1+((B302&gt;B308)+((B302=B308)*(C302&gt;C308))+((B302=B308)*(C302=C308)*(D302&gt;D308))+((B302=B308)*(C302=C308)*(D302=D308)*(F302&lt;F308))&gt;0)*1+((B303&gt;B308)+((B303=B308)*(C303&gt;C308))+((B303=B308)*(C303=C308)*(D303&gt;D308))+((B303=B308)*(C303=C308)*(D303=D308)*(F303&lt;F308))&gt;0)*1+((B304&gt;B308)+((B304=B308)*(C304&gt;C308))+((B304=B308)*(C304=C308)*(D304&gt;D308))+((B304=B308)*(C304=C308)*(D304=D308)*(F304&lt;F308))&gt;0)*1+((B305&gt;B308)+((B305=B308)*(C305&gt;C308))+((B305=B308)*(C305=C308)*(D305&gt;D308))+((B305=B308)*(C305=C308)*(D305=D308)*(F305&lt;F308))&gt;0)*1+((B306&gt;B308)+((B306=B308)*(C306&gt;C308))+((B306=B308)*(C306=C308)*(D306&gt;D308))+((B306=B308)*(C306=C308)*(D306=D308)*(F306&lt;F308))&gt;0)*1+((B307&gt;B308)+((B307=B308)*(C307&gt;C308))+((B307=B308)*(C307=C308)*(D307&gt;D308))+((B307=B308)*(C307=C308)*(D307=D308)*(F307&lt;F308))&gt;0)*1+((B309&gt;B308)+((B309=B308)*(C309&gt;C308))+((B309=B308)*(C309=C308)*(D309&gt;D308))+((B309=B308)*(C309=C308)*(D309=D308)*(F309&lt;F308))&gt;0)*1+((B310&gt;B308)+((B310=B308)*(C310&gt;C308))+((B310=B308)*(C310=C308)*(D310&gt;D308))+((B310=B308)*(C310=C308)*(D310=D308)*(F310&lt;F308))&gt;0)*1+((B311&gt;B308)+((B311=B308)*(C311&gt;C308))+((B311=B308)*(C311=C308)*(D311&gt;D308))+((B311=B308)*(C311=C308)*(D311=D308)*(F311&lt;F308))&gt;0)*1</f>
        <v>1</v>
      </c>
      <c r="F308" s="12">
        <f t="shared" si="0"/>
        <v>14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" customHeight="1" x14ac:dyDescent="0.3">
      <c r="A309" s="12" t="str">
        <f>M81</f>
        <v>Algerie</v>
      </c>
      <c r="B309" s="12">
        <f>IFERROR(INDEX(AE79:AE82,MATCH(3,AF79:AF82,0)),0)</f>
        <v>3</v>
      </c>
      <c r="C309" s="12">
        <f>IFERROR(INDEX(AD79:AD82,MATCH(3,AF79:AF82,0)),0)</f>
        <v>-1</v>
      </c>
      <c r="D309" s="12">
        <f>IFERROR(INDEX(AB79:AB82,MATCH(3,AF79:AF82,0)),0)</f>
        <v>4</v>
      </c>
      <c r="E309" s="12">
        <f>1+((B300&gt;B309)+((B300=B309)*(C300&gt;C309))+((B300=B309)*(C300=C309)*(D300&gt;D309))+((B300=B309)*(C300=C309)*(D300=D309)*(F300&lt;F309))&gt;0)*1+((B301&gt;B309)+((B301=B309)*(C301&gt;C309))+((B301=B309)*(C301=C309)*(D301&gt;D309))+((B301=B309)*(C301=C309)*(D301=D309)*(F301&lt;F309))&gt;0)*1+((B302&gt;B309)+((B302=B309)*(C302&gt;C309))+((B302=B309)*(C302=C309)*(D302&gt;D309))+((B302=B309)*(C302=C309)*(D302=D309)*(F302&lt;F309))&gt;0)*1+((B303&gt;B309)+((B303=B309)*(C303&gt;C309))+((B303=B309)*(C303=C309)*(D303&gt;D309))+((B303=B309)*(C303=C309)*(D303=D309)*(F303&lt;F309))&gt;0)*1+((B304&gt;B309)+((B304=B309)*(C304&gt;C309))+((B304=B309)*(C304=C309)*(D304&gt;D309))+((B304=B309)*(C304=C309)*(D304=D309)*(F304&lt;F309))&gt;0)*1+((B305&gt;B309)+((B305=B309)*(C305&gt;C309))+((B305=B309)*(C305=C309)*(D305&gt;D309))+((B305=B309)*(C305=C309)*(D305=D309)*(F305&lt;F309))&gt;0)*1+((B306&gt;B309)+((B306=B309)*(C306&gt;C309))+((B306=B309)*(C306=C309)*(D306&gt;D309))+((B306=B309)*(C306=C309)*(D306=D309)*(F306&lt;F309))&gt;0)*1+((B307&gt;B309)+((B307=B309)*(C307&gt;C309))+((B307=B309)*(C307=C309)*(D307&gt;D309))+((B307=B309)*(C307=C309)*(D307=D309)*(F307&lt;F309))&gt;0)*1+((B308&gt;B309)+((B308=B309)*(C308&gt;C309))+((B308=B309)*(C308=C309)*(D308&gt;D309))+((B308=B309)*(C308=C309)*(D308=D309)*(F308&lt;F309))&gt;0)*1+((B310&gt;B309)+((B310=B309)*(C310&gt;C309))+((B310=B309)*(C310=C309)*(D310&gt;D309))+((B310=B309)*(C310=C309)*(D310=D309)*(F310&lt;F309))&gt;0)*1+((B311&gt;B309)+((B311=B309)*(C311&gt;C309))+((B311=B309)*(C311=C309)*(D311&gt;D309))+((B311=B309)*(C311=C309)*(D311=D309)*(F311&lt;F309))&gt;0)*1</f>
        <v>5</v>
      </c>
      <c r="F309" s="12">
        <f t="shared" si="0"/>
        <v>28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" customHeight="1" x14ac:dyDescent="0.3">
      <c r="A310" s="12" t="str">
        <f>M89</f>
        <v>DR Kongo</v>
      </c>
      <c r="B310" s="12">
        <f>IFERROR(INDEX(AE87:AE90,MATCH(3,AF87:AF90,0)),0)</f>
        <v>3</v>
      </c>
      <c r="C310" s="12">
        <f>IFERROR(INDEX(AD87:AD90,MATCH(3,AF87:AF90,0)),0)</f>
        <v>-2</v>
      </c>
      <c r="D310" s="12">
        <f>IFERROR(INDEX(AB87:AB90,MATCH(3,AF87:AF90,0)),0)</f>
        <v>3</v>
      </c>
      <c r="E310" s="12">
        <f>1+((B300&gt;B310)+((B300=B310)*(C300&gt;C310))+((B300=B310)*(C300=C310)*(D300&gt;D310))+((B300=B310)*(C300=C310)*(D300=D310)*(F300&lt;F310))&gt;0)*1+((B301&gt;B310)+((B301=B310)*(C301&gt;C310))+((B301=B310)*(C301=C310)*(D301&gt;D310))+((B301=B310)*(C301=C310)*(D301=D310)*(F301&lt;F310))&gt;0)*1+((B302&gt;B310)+((B302=B310)*(C302&gt;C310))+((B302=B310)*(C302=C310)*(D302&gt;D310))+((B302=B310)*(C302=C310)*(D302=D310)*(F302&lt;F310))&gt;0)*1+((B303&gt;B310)+((B303=B310)*(C303&gt;C310))+((B303=B310)*(C303=C310)*(D303&gt;D310))+((B303=B310)*(C303=C310)*(D303=D310)*(F303&lt;F310))&gt;0)*1+((B304&gt;B310)+((B304=B310)*(C304&gt;C310))+((B304=B310)*(C304=C310)*(D304&gt;D310))+((B304=B310)*(C304=C310)*(D304=D310)*(F304&lt;F310))&gt;0)*1+((B305&gt;B310)+((B305=B310)*(C305&gt;C310))+((B305=B310)*(C305=C310)*(D305&gt;D310))+((B305=B310)*(C305=C310)*(D305=D310)*(F305&lt;F310))&gt;0)*1+((B306&gt;B310)+((B306=B310)*(C306&gt;C310))+((B306=B310)*(C306=C310)*(D306&gt;D310))+((B306=B310)*(C306=C310)*(D306=D310)*(F306&lt;F310))&gt;0)*1+((B307&gt;B310)+((B307=B310)*(C307&gt;C310))+((B307=B310)*(C307=C310)*(D307&gt;D310))+((B307=B310)*(C307=C310)*(D307=D310)*(F307&lt;F310))&gt;0)*1+((B308&gt;B310)+((B308=B310)*(C308&gt;C310))+((B308=B310)*(C308=C310)*(D308&gt;D310))+((B308=B310)*(C308=C310)*(D308=D310)*(F308&lt;F310))&gt;0)*1+((B309&gt;B310)+((B309=B310)*(C309&gt;C310))+((B309=B310)*(C309=C310)*(D309&gt;D310))+((B309=B310)*(C309=C310)*(D309=D310)*(F309&lt;F310))&gt;0)*1+((B311&gt;B310)+((B311=B310)*(C311&gt;C310))+((B311=B310)*(C311=C310)*(D311&gt;D310))+((B311=B310)*(C311=C310)*(D311=D310)*(F311&lt;F310))&gt;0)*1</f>
        <v>7</v>
      </c>
      <c r="F310" s="12">
        <f t="shared" si="0"/>
        <v>46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" customHeight="1" x14ac:dyDescent="0.3">
      <c r="A311" s="12" t="str">
        <f>M97</f>
        <v>Ghana</v>
      </c>
      <c r="B311" s="12">
        <f>IFERROR(INDEX(AE95:AE98,MATCH(3,AF95:AF98,0)),0)</f>
        <v>4</v>
      </c>
      <c r="C311" s="12">
        <f>IFERROR(INDEX(AD95:AD98,MATCH(3,AF95:AF98,0)),0)</f>
        <v>0</v>
      </c>
      <c r="D311" s="12">
        <f>IFERROR(INDEX(AB95:AB98,MATCH(3,AF95:AF98,0)),0)</f>
        <v>5</v>
      </c>
      <c r="E311" s="12">
        <f>1+((B300&gt;B311)+((B300=B311)*(C300&gt;C311))+((B300=B311)*(C300=C311)*(D300&gt;D311))+((B300=B311)*(C300=C311)*(D300=D311)*(F300&lt;F311))&gt;0)*1+((B301&gt;B311)+((B301=B311)*(C301&gt;C311))+((B301=B311)*(C301=C311)*(D301&gt;D311))+((B301=B311)*(C301=C311)*(D301=D311)*(F301&lt;F311))&gt;0)*1+((B302&gt;B311)+((B302=B311)*(C302&gt;C311))+((B302=B311)*(C302=C311)*(D302&gt;D311))+((B302=B311)*(C302=C311)*(D302=D311)*(F302&lt;F311))&gt;0)*1+((B303&gt;B311)+((B303=B311)*(C303&gt;C311))+((B303=B311)*(C303=C311)*(D303&gt;D311))+((B303=B311)*(C303=C311)*(D303=D311)*(F303&lt;F311))&gt;0)*1+((B304&gt;B311)+((B304=B311)*(C304&gt;C311))+((B304=B311)*(C304=C311)*(D304&gt;D311))+((B304=B311)*(C304=C311)*(D304=D311)*(F304&lt;F311))&gt;0)*1+((B305&gt;B311)+((B305=B311)*(C305&gt;C311))+((B305=B311)*(C305=C311)*(D305&gt;D311))+((B305=B311)*(C305=C311)*(D305=D311)*(F305&lt;F311))&gt;0)*1+((B306&gt;B311)+((B306=B311)*(C306&gt;C311))+((B306=B311)*(C306=C311)*(D306&gt;D311))+((B306=B311)*(C306=C311)*(D306=D311)*(F306&lt;F311))&gt;0)*1+((B307&gt;B311)+((B307=B311)*(C307&gt;C311))+((B307=B311)*(C307=C311)*(D307&gt;D311))+((B307=B311)*(C307=C311)*(D307=D311)*(F307&lt;F311))&gt;0)*1+((B308&gt;B311)+((B308=B311)*(C308&gt;C311))+((B308=B311)*(C308=C311)*(D308&gt;D311))+((B308=B311)*(C308=C311)*(D308=D311)*(F308&lt;F311))&gt;0)*1+((B309&gt;B311)+((B309=B311)*(C309&gt;C311))+((B309=B311)*(C309=C311)*(D309&gt;D311))+((B309=B311)*(C309=C311)*(D309=D311)*(F309&lt;F311))&gt;0)*1+((B310&gt;B311)+((B310=B311)*(C310&gt;C311))+((B310=B311)*(C310=C311)*(D310&gt;D311))+((B310=B311)*(C310=C311)*(D310=D311)*(F310&lt;F311))&gt;0)*1</f>
        <v>3</v>
      </c>
      <c r="F311" s="12">
        <f t="shared" si="0"/>
        <v>74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20" spans="1:31" x14ac:dyDescent="0.3">
      <c r="A320" t="s">
        <v>140</v>
      </c>
      <c r="B320">
        <v>28</v>
      </c>
    </row>
    <row r="321" spans="1:2" x14ac:dyDescent="0.3">
      <c r="A321" t="s">
        <v>139</v>
      </c>
      <c r="B321">
        <v>3</v>
      </c>
    </row>
    <row r="322" spans="1:2" x14ac:dyDescent="0.3">
      <c r="A322" t="s">
        <v>81</v>
      </c>
      <c r="B322">
        <v>27</v>
      </c>
    </row>
    <row r="323" spans="1:2" x14ac:dyDescent="0.3">
      <c r="A323" t="s">
        <v>111</v>
      </c>
      <c r="B323">
        <v>9</v>
      </c>
    </row>
    <row r="324" spans="1:2" x14ac:dyDescent="0.3">
      <c r="A324" t="s">
        <v>52</v>
      </c>
      <c r="B324">
        <v>65</v>
      </c>
    </row>
    <row r="325" spans="1:2" x14ac:dyDescent="0.3">
      <c r="A325" t="s">
        <v>66</v>
      </c>
      <c r="B325">
        <v>6</v>
      </c>
    </row>
    <row r="326" spans="1:2" x14ac:dyDescent="0.3">
      <c r="A326" t="s">
        <v>51</v>
      </c>
      <c r="B326">
        <v>30</v>
      </c>
    </row>
    <row r="327" spans="1:2" x14ac:dyDescent="0.3">
      <c r="A327" t="s">
        <v>149</v>
      </c>
      <c r="B327">
        <v>13</v>
      </c>
    </row>
    <row r="328" spans="1:2" x14ac:dyDescent="0.3">
      <c r="A328" t="s">
        <v>89</v>
      </c>
      <c r="B328">
        <v>82</v>
      </c>
    </row>
    <row r="329" spans="1:2" x14ac:dyDescent="0.3">
      <c r="A329" t="s">
        <v>147</v>
      </c>
      <c r="B329">
        <v>46</v>
      </c>
    </row>
    <row r="330" spans="1:2" x14ac:dyDescent="0.3">
      <c r="A330" t="s">
        <v>93</v>
      </c>
      <c r="B330">
        <v>23</v>
      </c>
    </row>
    <row r="331" spans="1:2" x14ac:dyDescent="0.3">
      <c r="A331" t="s">
        <v>112</v>
      </c>
      <c r="B331">
        <v>29</v>
      </c>
    </row>
    <row r="332" spans="1:2" x14ac:dyDescent="0.3">
      <c r="A332" t="s">
        <v>92</v>
      </c>
      <c r="B332">
        <v>34</v>
      </c>
    </row>
    <row r="333" spans="1:2" x14ac:dyDescent="0.3">
      <c r="A333" t="s">
        <v>154</v>
      </c>
      <c r="B333">
        <v>4</v>
      </c>
    </row>
    <row r="334" spans="1:2" x14ac:dyDescent="0.3">
      <c r="A334" t="s">
        <v>129</v>
      </c>
      <c r="B334">
        <v>1</v>
      </c>
    </row>
    <row r="335" spans="1:2" x14ac:dyDescent="0.3">
      <c r="A335" t="s">
        <v>156</v>
      </c>
      <c r="B335">
        <v>74</v>
      </c>
    </row>
    <row r="336" spans="1:2" x14ac:dyDescent="0.3">
      <c r="A336" t="s">
        <v>70</v>
      </c>
      <c r="B336">
        <v>83</v>
      </c>
    </row>
    <row r="337" spans="1:2" x14ac:dyDescent="0.3">
      <c r="A337" t="s">
        <v>131</v>
      </c>
      <c r="B337">
        <v>57</v>
      </c>
    </row>
    <row r="338" spans="1:2" x14ac:dyDescent="0.3">
      <c r="A338" t="s">
        <v>104</v>
      </c>
      <c r="B338">
        <v>18</v>
      </c>
    </row>
    <row r="339" spans="1:2" x14ac:dyDescent="0.3">
      <c r="A339" t="s">
        <v>142</v>
      </c>
      <c r="B339">
        <v>63</v>
      </c>
    </row>
    <row r="340" spans="1:2" x14ac:dyDescent="0.3">
      <c r="A340" t="s">
        <v>123</v>
      </c>
      <c r="B340">
        <v>69</v>
      </c>
    </row>
    <row r="341" spans="1:2" x14ac:dyDescent="0.3">
      <c r="A341" t="s">
        <v>155</v>
      </c>
      <c r="B341">
        <v>11</v>
      </c>
    </row>
    <row r="342" spans="1:2" x14ac:dyDescent="0.3">
      <c r="A342" t="s">
        <v>165</v>
      </c>
      <c r="B342">
        <v>67</v>
      </c>
    </row>
    <row r="343" spans="1:2" x14ac:dyDescent="0.3">
      <c r="A343" t="s">
        <v>67</v>
      </c>
      <c r="B343">
        <v>8</v>
      </c>
    </row>
    <row r="344" spans="1:2" x14ac:dyDescent="0.3">
      <c r="A344" t="s">
        <v>28</v>
      </c>
      <c r="B344">
        <v>15</v>
      </c>
    </row>
    <row r="345" spans="1:2" x14ac:dyDescent="0.3">
      <c r="A345" t="s">
        <v>103</v>
      </c>
      <c r="B345">
        <v>7</v>
      </c>
    </row>
    <row r="346" spans="1:2" x14ac:dyDescent="0.3">
      <c r="A346" t="s">
        <v>114</v>
      </c>
      <c r="B346">
        <v>85</v>
      </c>
    </row>
    <row r="347" spans="1:2" x14ac:dyDescent="0.3">
      <c r="A347" t="s">
        <v>132</v>
      </c>
      <c r="B347">
        <v>31</v>
      </c>
    </row>
    <row r="348" spans="1:2" x14ac:dyDescent="0.3">
      <c r="A348" t="s">
        <v>157</v>
      </c>
      <c r="B348">
        <v>33</v>
      </c>
    </row>
    <row r="349" spans="1:2" x14ac:dyDescent="0.3">
      <c r="A349" t="s">
        <v>80</v>
      </c>
      <c r="B349">
        <v>40</v>
      </c>
    </row>
    <row r="350" spans="1:2" x14ac:dyDescent="0.3">
      <c r="A350" t="s">
        <v>146</v>
      </c>
      <c r="B350">
        <v>5</v>
      </c>
    </row>
    <row r="351" spans="1:2" x14ac:dyDescent="0.3">
      <c r="A351" t="s">
        <v>54</v>
      </c>
      <c r="B351">
        <v>55</v>
      </c>
    </row>
    <row r="352" spans="1:2" x14ac:dyDescent="0.3">
      <c r="A352" t="s">
        <v>124</v>
      </c>
      <c r="B352">
        <v>61</v>
      </c>
    </row>
    <row r="353" spans="1:2" x14ac:dyDescent="0.3">
      <c r="A353" t="s">
        <v>130</v>
      </c>
      <c r="B353">
        <v>14</v>
      </c>
    </row>
    <row r="354" spans="1:2" x14ac:dyDescent="0.3">
      <c r="A354" t="s">
        <v>71</v>
      </c>
      <c r="B354">
        <v>43</v>
      </c>
    </row>
    <row r="355" spans="1:2" x14ac:dyDescent="0.3">
      <c r="A355" t="s">
        <v>122</v>
      </c>
      <c r="B355">
        <v>2</v>
      </c>
    </row>
    <row r="356" spans="1:2" x14ac:dyDescent="0.3">
      <c r="A356" t="s">
        <v>55</v>
      </c>
      <c r="B356">
        <v>19</v>
      </c>
    </row>
    <row r="357" spans="1:2" x14ac:dyDescent="0.3">
      <c r="A357" t="s">
        <v>106</v>
      </c>
      <c r="B357">
        <v>38</v>
      </c>
    </row>
    <row r="358" spans="1:2" x14ac:dyDescent="0.3">
      <c r="A358" t="s">
        <v>30</v>
      </c>
      <c r="B358">
        <v>60</v>
      </c>
    </row>
    <row r="359" spans="1:2" x14ac:dyDescent="0.3">
      <c r="A359" t="s">
        <v>35</v>
      </c>
      <c r="B359">
        <v>25</v>
      </c>
    </row>
    <row r="360" spans="1:2" x14ac:dyDescent="0.3">
      <c r="A360" t="s">
        <v>36</v>
      </c>
      <c r="B360">
        <v>41</v>
      </c>
    </row>
    <row r="361" spans="1:2" x14ac:dyDescent="0.3">
      <c r="A361" t="s">
        <v>107</v>
      </c>
      <c r="B361">
        <v>44</v>
      </c>
    </row>
    <row r="362" spans="1:2" x14ac:dyDescent="0.3">
      <c r="A362" t="s">
        <v>82</v>
      </c>
      <c r="B362">
        <v>21</v>
      </c>
    </row>
    <row r="363" spans="1:2" x14ac:dyDescent="0.3">
      <c r="A363" t="s">
        <v>88</v>
      </c>
      <c r="B363">
        <v>10</v>
      </c>
    </row>
    <row r="364" spans="1:2" x14ac:dyDescent="0.3">
      <c r="A364" t="s">
        <v>79</v>
      </c>
      <c r="B364">
        <v>16</v>
      </c>
    </row>
    <row r="365" spans="1:2" x14ac:dyDescent="0.3">
      <c r="A365" t="s">
        <v>125</v>
      </c>
      <c r="B365">
        <v>17</v>
      </c>
    </row>
    <row r="366" spans="1:2" x14ac:dyDescent="0.3">
      <c r="A366" t="s">
        <v>148</v>
      </c>
      <c r="B366">
        <v>50</v>
      </c>
    </row>
    <row r="367" spans="1:2" x14ac:dyDescent="0.3">
      <c r="A367" t="s">
        <v>141</v>
      </c>
      <c r="B367">
        <v>24</v>
      </c>
    </row>
  </sheetData>
  <mergeCells count="37">
    <mergeCell ref="A1:K1"/>
    <mergeCell ref="M1:U1"/>
    <mergeCell ref="A2:C2"/>
    <mergeCell ref="D2:K2"/>
    <mergeCell ref="M2:U2"/>
    <mergeCell ref="A3:K3"/>
    <mergeCell ref="M3:U3"/>
    <mergeCell ref="A5:K5"/>
    <mergeCell ref="M5:U5"/>
    <mergeCell ref="A13:K13"/>
    <mergeCell ref="M13:U13"/>
    <mergeCell ref="A21:K21"/>
    <mergeCell ref="M21:U21"/>
    <mergeCell ref="A29:K29"/>
    <mergeCell ref="M29:U29"/>
    <mergeCell ref="A37:K37"/>
    <mergeCell ref="M37:U37"/>
    <mergeCell ref="A45:K45"/>
    <mergeCell ref="M45:U45"/>
    <mergeCell ref="A53:K53"/>
    <mergeCell ref="M53:U53"/>
    <mergeCell ref="A61:K61"/>
    <mergeCell ref="M61:U61"/>
    <mergeCell ref="A69:K69"/>
    <mergeCell ref="M69:U69"/>
    <mergeCell ref="A77:K77"/>
    <mergeCell ref="M77:U77"/>
    <mergeCell ref="A85:K85"/>
    <mergeCell ref="M85:U85"/>
    <mergeCell ref="I157:K157"/>
    <mergeCell ref="I168:K168"/>
    <mergeCell ref="I175:K175"/>
    <mergeCell ref="A93:K93"/>
    <mergeCell ref="M93:U93"/>
    <mergeCell ref="H101:K101"/>
    <mergeCell ref="I103:K103"/>
    <mergeCell ref="I138:K138"/>
  </mergeCells>
  <conditionalFormatting sqref="H105:H136">
    <cfRule type="expression" dxfId="19" priority="2">
      <formula>H105=1</formula>
    </cfRule>
    <cfRule type="expression" dxfId="18" priority="3">
      <formula>AND(COUNTIF($H$105:$H$136,1)&gt;=16,H105&lt;&gt;1)</formula>
    </cfRule>
  </conditionalFormatting>
  <conditionalFormatting sqref="H140:H155">
    <cfRule type="expression" dxfId="17" priority="6">
      <formula>H140=1</formula>
    </cfRule>
    <cfRule type="expression" dxfId="16" priority="7">
      <formula>AND(COUNTIF($H$140:$H$155,1)&gt;=8,H140&lt;&gt;1)</formula>
    </cfRule>
  </conditionalFormatting>
  <conditionalFormatting sqref="H159:H166">
    <cfRule type="expression" dxfId="15" priority="10">
      <formula>H159=1</formula>
    </cfRule>
    <cfRule type="expression" dxfId="14" priority="11">
      <formula>AND(COUNTIF($H$159:$H$166,1)&gt;=4,H159&lt;&gt;1)</formula>
    </cfRule>
  </conditionalFormatting>
  <conditionalFormatting sqref="H170:H173">
    <cfRule type="expression" dxfId="13" priority="14">
      <formula>H170=1</formula>
    </cfRule>
    <cfRule type="expression" dxfId="12" priority="15">
      <formula>AND(COUNTIF($H$170:$H$173,1)&gt;=2,H170&lt;&gt;1)</formula>
    </cfRule>
  </conditionalFormatting>
  <conditionalFormatting sqref="H177:H178">
    <cfRule type="expression" dxfId="11" priority="18">
      <formula>H177=1</formula>
    </cfRule>
    <cfRule type="expression" dxfId="10" priority="19">
      <formula>AND(COUNTIF($H$177:$H$178,1)&gt;=1,H177&lt;&gt;1)</formula>
    </cfRule>
  </conditionalFormatting>
  <conditionalFormatting sqref="I105:I136">
    <cfRule type="expression" dxfId="9" priority="4">
      <formula>$H105=1</formula>
    </cfRule>
    <cfRule type="expression" dxfId="8" priority="5">
      <formula>AND(COUNTIF($H$105:$H$136,1)&gt;=16,$H105&lt;&gt;1)</formula>
    </cfRule>
  </conditionalFormatting>
  <conditionalFormatting sqref="I140:I155">
    <cfRule type="expression" dxfId="7" priority="8">
      <formula>$H140=1</formula>
    </cfRule>
    <cfRule type="expression" dxfId="6" priority="9">
      <formula>AND(COUNTIF($H$140:$H$155,1)&gt;=8,$H140&lt;&gt;1)</formula>
    </cfRule>
  </conditionalFormatting>
  <conditionalFormatting sqref="I159:I166">
    <cfRule type="expression" dxfId="5" priority="12">
      <formula>$H159=1</formula>
    </cfRule>
    <cfRule type="expression" dxfId="4" priority="13">
      <formula>AND(COUNTIF($H$159:$H$166,1)&gt;=4,$H159&lt;&gt;1)</formula>
    </cfRule>
  </conditionalFormatting>
  <conditionalFormatting sqref="I170:I173">
    <cfRule type="expression" dxfId="3" priority="16">
      <formula>$H170=1</formula>
    </cfRule>
    <cfRule type="expression" dxfId="2" priority="17">
      <formula>AND(COUNTIF($H$170:$H$173,1)&gt;=2,$H170&lt;&gt;1)</formula>
    </cfRule>
  </conditionalFormatting>
  <conditionalFormatting sqref="I177:I178">
    <cfRule type="expression" dxfId="1" priority="20">
      <formula>$H177=1</formula>
    </cfRule>
    <cfRule type="expression" dxfId="0" priority="21">
      <formula>AND(COUNTIF($H$177:$H$178,1)&gt;=1,$H177&lt;&gt;1)</formula>
    </cfRule>
  </conditionalFormatting>
  <dataValidations count="5">
    <dataValidation type="whole" operator="equal" allowBlank="1" errorTitle="Ugyldig verdi" error="Kun 1 er tillatt (eller la cellen stå tom)" promptTitle="Går laget videre?" prompt="Skriv 1 for å velge laget (maks 16 i denne runden)" sqref="H105:H136" xr:uid="{00000000-0002-0000-0000-000000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8 i denne runden)" sqref="H140:H155" xr:uid="{00000000-0002-0000-0000-000001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4 i denne runden)" sqref="H159:H166" xr:uid="{00000000-0002-0000-0000-000002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2 i denne runden)" sqref="H170:H173" xr:uid="{00000000-0002-0000-0000-000003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1 i denne runden)" sqref="H177:H178" xr:uid="{00000000-0002-0000-0000-000004000000}">
      <formula1>1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&amp;L&amp;10 _x005F_x000d_#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4a677-7aee-4d17-8718-d38c4fab49a7">
      <Terms xmlns="http://schemas.microsoft.com/office/infopath/2007/PartnerControls"/>
    </lcf76f155ced4ddcb4097134ff3c332f>
    <TaxCatchAll xmlns="d4f56ad3-4be4-4368-a565-df4965c1e22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046C6C42EE1449039E4EC9B42CCA1" ma:contentTypeVersion="18" ma:contentTypeDescription="Create a new document." ma:contentTypeScope="" ma:versionID="80f13109c7168a888416f40688afc82a">
  <xsd:schema xmlns:xsd="http://www.w3.org/2001/XMLSchema" xmlns:xs="http://www.w3.org/2001/XMLSchema" xmlns:p="http://schemas.microsoft.com/office/2006/metadata/properties" xmlns:ns2="9cd4a677-7aee-4d17-8718-d38c4fab49a7" xmlns:ns3="d4f56ad3-4be4-4368-a565-df4965c1e22f" targetNamespace="http://schemas.microsoft.com/office/2006/metadata/properties" ma:root="true" ma:fieldsID="09d6a4af225531c3ac4b1ce681bc99f1" ns2:_="" ns3:_="">
    <xsd:import namespace="9cd4a677-7aee-4d17-8718-d38c4fab49a7"/>
    <xsd:import namespace="d4f56ad3-4be4-4368-a565-df4965c1e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4a677-7aee-4d17-8718-d38c4fab4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63446f-fa09-4a57-8767-1c19b0316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56ad3-4be4-4368-a565-df4965c1e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a31b7a-6ba3-40f4-b1de-98c954a68b53}" ma:internalName="TaxCatchAll" ma:showField="CatchAllData" ma:web="d4f56ad3-4be4-4368-a565-df4965c1e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6ABE4A-3858-41FC-AC73-8B349001CD0D}">
  <ds:schemaRefs>
    <ds:schemaRef ds:uri="http://schemas.microsoft.com/office/2006/metadata/properties"/>
    <ds:schemaRef ds:uri="http://schemas.microsoft.com/office/infopath/2007/PartnerControls"/>
    <ds:schemaRef ds:uri="9cd4a677-7aee-4d17-8718-d38c4fab49a7"/>
    <ds:schemaRef ds:uri="d4f56ad3-4be4-4368-a565-df4965c1e22f"/>
  </ds:schemaRefs>
</ds:datastoreItem>
</file>

<file path=customXml/itemProps2.xml><?xml version="1.0" encoding="utf-8"?>
<ds:datastoreItem xmlns:ds="http://schemas.openxmlformats.org/officeDocument/2006/customXml" ds:itemID="{C5C4C190-1676-40FC-8F6C-83915FF9F8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4a677-7aee-4d17-8718-d38c4fab49a7"/>
    <ds:schemaRef ds:uri="d4f56ad3-4be4-4368-a565-df4965c1e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0F40B2-5A7E-46B3-9DAE-77C00DFA30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Skaug</cp:lastModifiedBy>
  <cp:revision>0</cp:revision>
  <dcterms:created xsi:type="dcterms:W3CDTF">2026-05-20T11:40:41Z</dcterms:created>
  <dcterms:modified xsi:type="dcterms:W3CDTF">2026-06-08T10:51:33Z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0x010100671046C6C42EE1449039E4EC9B42CCA1</vt:lpwstr>
  </property>
  <property fmtid="{D5CDD505-2E9C-101B-9397-08002B2CF9AE}" pid="3" name="MediaServiceImageTags">
    <vt:lpwstr/>
  </property>
  <property fmtid="{D5CDD505-2E9C-101B-9397-08002B2CF9AE}" pid="4" name="MSIP_Label_a3737353-f69d-4ad2-aba1-ff41c1216ee6_Enabled">
    <vt:lpwstr>true</vt:lpwstr>
  </property>
  <property fmtid="{D5CDD505-2E9C-101B-9397-08002B2CF9AE}" pid="5" name="MSIP_Label_a3737353-f69d-4ad2-aba1-ff41c1216ee6_SetDate">
    <vt:lpwstr>2026-06-08T08:47:58Z</vt:lpwstr>
  </property>
  <property fmtid="{D5CDD505-2E9C-101B-9397-08002B2CF9AE}" pid="6" name="MSIP_Label_a3737353-f69d-4ad2-aba1-ff41c1216ee6_Method">
    <vt:lpwstr>Privileged</vt:lpwstr>
  </property>
  <property fmtid="{D5CDD505-2E9C-101B-9397-08002B2CF9AE}" pid="7" name="MSIP_Label_a3737353-f69d-4ad2-aba1-ff41c1216ee6_Name">
    <vt:lpwstr>a3737353-f69d-4ad2-aba1-ff41c1216ee6</vt:lpwstr>
  </property>
  <property fmtid="{D5CDD505-2E9C-101B-9397-08002B2CF9AE}" pid="8" name="MSIP_Label_a3737353-f69d-4ad2-aba1-ff41c1216ee6_SiteId">
    <vt:lpwstr>1b451b4e-0727-4d46-b100-af1eb0f3da12</vt:lpwstr>
  </property>
  <property fmtid="{D5CDD505-2E9C-101B-9397-08002B2CF9AE}" pid="9" name="MSIP_Label_a3737353-f69d-4ad2-aba1-ff41c1216ee6_ActionId">
    <vt:lpwstr>43ee1dcf-2fc1-4fc5-863d-362229804d1c</vt:lpwstr>
  </property>
  <property fmtid="{D5CDD505-2E9C-101B-9397-08002B2CF9AE}" pid="10" name="MSIP_Label_a3737353-f69d-4ad2-aba1-ff41c1216ee6_ContentBits">
    <vt:lpwstr>0</vt:lpwstr>
  </property>
  <property fmtid="{D5CDD505-2E9C-101B-9397-08002B2CF9AE}" pid="11" name="MSIP_Label_a3737353-f69d-4ad2-aba1-ff41c1216ee6_Tag">
    <vt:lpwstr>10, 0, 1, 1</vt:lpwstr>
  </property>
</Properties>
</file>