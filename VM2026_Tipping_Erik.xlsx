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1" documentId="13_ncr:1_{1A3951F4-2744-468D-96F3-88FF2DF3F305}" xr6:coauthVersionLast="47" xr6:coauthVersionMax="47" xr10:uidLastSave="{D94C3C3B-3B0B-4C0B-8DAE-8FB42FF80B25}"/>
  <bookViews>
    <workbookView xWindow="-23148" yWindow="8172" windowWidth="23256" windowHeight="13896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1" i="1"/>
  <c r="J170" i="1"/>
  <c r="I178" i="1" s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D95" i="1" s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AE89" i="1" s="1"/>
  <c r="X89" i="1"/>
  <c r="AC88" i="1"/>
  <c r="AB88" i="1"/>
  <c r="AA88" i="1"/>
  <c r="Z88" i="1"/>
  <c r="Y88" i="1"/>
  <c r="AE88" i="1" s="1"/>
  <c r="X88" i="1"/>
  <c r="AC87" i="1"/>
  <c r="AB87" i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X79" i="1"/>
  <c r="AC74" i="1"/>
  <c r="AB74" i="1"/>
  <c r="AA74" i="1"/>
  <c r="Z74" i="1"/>
  <c r="Y74" i="1"/>
  <c r="AE74" i="1" s="1"/>
  <c r="X74" i="1"/>
  <c r="AC73" i="1"/>
  <c r="AB73" i="1"/>
  <c r="AA73" i="1"/>
  <c r="Z73" i="1"/>
  <c r="Y73" i="1"/>
  <c r="X73" i="1"/>
  <c r="AC72" i="1"/>
  <c r="AB72" i="1"/>
  <c r="AA72" i="1"/>
  <c r="Z72" i="1"/>
  <c r="Y72" i="1"/>
  <c r="AE72" i="1" s="1"/>
  <c r="X72" i="1"/>
  <c r="AC71" i="1"/>
  <c r="AB71" i="1"/>
  <c r="AA71" i="1"/>
  <c r="Z71" i="1"/>
  <c r="Y71" i="1"/>
  <c r="X71" i="1"/>
  <c r="AC66" i="1"/>
  <c r="AB66" i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AE63" i="1" s="1"/>
  <c r="X63" i="1"/>
  <c r="AC58" i="1"/>
  <c r="AB58" i="1"/>
  <c r="AA58" i="1"/>
  <c r="Z58" i="1"/>
  <c r="Y58" i="1"/>
  <c r="AE58" i="1" s="1"/>
  <c r="X58" i="1"/>
  <c r="AC57" i="1"/>
  <c r="AB57" i="1"/>
  <c r="AA57" i="1"/>
  <c r="Z57" i="1"/>
  <c r="Y57" i="1"/>
  <c r="X57" i="1"/>
  <c r="AC56" i="1"/>
  <c r="AB56" i="1"/>
  <c r="AA56" i="1"/>
  <c r="Z56" i="1"/>
  <c r="Y56" i="1"/>
  <c r="X56" i="1"/>
  <c r="AC55" i="1"/>
  <c r="AB55" i="1"/>
  <c r="AD55" i="1" s="1"/>
  <c r="AA55" i="1"/>
  <c r="Z55" i="1"/>
  <c r="Y55" i="1"/>
  <c r="X55" i="1"/>
  <c r="AC50" i="1"/>
  <c r="AB50" i="1"/>
  <c r="AA50" i="1"/>
  <c r="Z50" i="1"/>
  <c r="Y50" i="1"/>
  <c r="X50" i="1"/>
  <c r="AC49" i="1"/>
  <c r="AB49" i="1"/>
  <c r="AA49" i="1"/>
  <c r="Z49" i="1"/>
  <c r="Y49" i="1"/>
  <c r="X49" i="1"/>
  <c r="AC48" i="1"/>
  <c r="AB48" i="1"/>
  <c r="AA48" i="1"/>
  <c r="Z48" i="1"/>
  <c r="Y48" i="1"/>
  <c r="X48" i="1"/>
  <c r="AC47" i="1"/>
  <c r="AB47" i="1"/>
  <c r="AA47" i="1"/>
  <c r="Z47" i="1"/>
  <c r="Y47" i="1"/>
  <c r="X47" i="1"/>
  <c r="AC42" i="1"/>
  <c r="AB42" i="1"/>
  <c r="AA42" i="1"/>
  <c r="Z42" i="1"/>
  <c r="Y42" i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4" i="1"/>
  <c r="AB34" i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D26" i="1" s="1"/>
  <c r="AA26" i="1"/>
  <c r="Z26" i="1"/>
  <c r="Y26" i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D23" i="1" s="1"/>
  <c r="AA23" i="1"/>
  <c r="Z23" i="1"/>
  <c r="Y23" i="1"/>
  <c r="X23" i="1"/>
  <c r="AC18" i="1"/>
  <c r="AB18" i="1"/>
  <c r="AA18" i="1"/>
  <c r="Z18" i="1"/>
  <c r="Y18" i="1"/>
  <c r="X18" i="1"/>
  <c r="AC17" i="1"/>
  <c r="AB17" i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I161" i="1" l="1"/>
  <c r="I153" i="1"/>
  <c r="I152" i="1"/>
  <c r="AD56" i="1"/>
  <c r="AE57" i="1"/>
  <c r="AD57" i="1"/>
  <c r="AD50" i="1"/>
  <c r="AD40" i="1"/>
  <c r="AD39" i="1"/>
  <c r="AD24" i="1"/>
  <c r="AE8" i="1"/>
  <c r="AE23" i="1"/>
  <c r="AE10" i="1"/>
  <c r="AD96" i="1"/>
  <c r="AE17" i="1"/>
  <c r="AE65" i="1"/>
  <c r="AD90" i="1"/>
  <c r="AE31" i="1"/>
  <c r="AD65" i="1"/>
  <c r="AD15" i="1"/>
  <c r="AD47" i="1"/>
  <c r="AE66" i="1"/>
  <c r="AE42" i="1"/>
  <c r="AD73" i="1"/>
  <c r="AD89" i="1"/>
  <c r="AE33" i="1"/>
  <c r="AE49" i="1"/>
  <c r="AE71" i="1"/>
  <c r="AD17" i="1"/>
  <c r="AE24" i="1"/>
  <c r="AE56" i="1"/>
  <c r="AD58" i="1"/>
  <c r="AD71" i="1"/>
  <c r="AF71" i="1" s="1"/>
  <c r="AD87" i="1"/>
  <c r="AF88" i="1" s="1"/>
  <c r="AD33" i="1"/>
  <c r="AD49" i="1"/>
  <c r="AE47" i="1"/>
  <c r="AD74" i="1"/>
  <c r="AE34" i="1"/>
  <c r="AE50" i="1"/>
  <c r="AD97" i="1"/>
  <c r="AD31" i="1"/>
  <c r="AE41" i="1"/>
  <c r="AD72" i="1"/>
  <c r="AD88" i="1"/>
  <c r="AE16" i="1"/>
  <c r="AD18" i="1"/>
  <c r="AE32" i="1"/>
  <c r="AD79" i="1"/>
  <c r="AD25" i="1"/>
  <c r="AD41" i="1"/>
  <c r="AD16" i="1"/>
  <c r="AE39" i="1"/>
  <c r="AE64" i="1"/>
  <c r="AD66" i="1"/>
  <c r="AD98" i="1"/>
  <c r="AE95" i="1"/>
  <c r="AE97" i="1"/>
  <c r="AE96" i="1"/>
  <c r="AE79" i="1"/>
  <c r="AE81" i="1"/>
  <c r="AE82" i="1"/>
  <c r="AE80" i="1"/>
  <c r="AD81" i="1"/>
  <c r="AD80" i="1"/>
  <c r="AF80" i="1" s="1"/>
  <c r="AD82" i="1"/>
  <c r="AE73" i="1"/>
  <c r="AD64" i="1"/>
  <c r="AD63" i="1"/>
  <c r="AE55" i="1"/>
  <c r="AD48" i="1"/>
  <c r="AE48" i="1"/>
  <c r="AD42" i="1"/>
  <c r="AD32" i="1"/>
  <c r="AD34" i="1"/>
  <c r="AE25" i="1"/>
  <c r="AE15" i="1"/>
  <c r="AE7" i="1"/>
  <c r="AD8" i="1"/>
  <c r="AD9" i="1"/>
  <c r="AE9" i="1"/>
  <c r="AD10" i="1"/>
  <c r="AD7" i="1"/>
  <c r="AE26" i="1"/>
  <c r="AE40" i="1"/>
  <c r="AE98" i="1"/>
  <c r="AE18" i="1"/>
  <c r="AF17" i="1" s="1"/>
  <c r="AE90" i="1"/>
  <c r="I162" i="1"/>
  <c r="I142" i="1"/>
  <c r="I148" i="1"/>
  <c r="I160" i="1" s="1"/>
  <c r="I154" i="1"/>
  <c r="I171" i="1"/>
  <c r="I163" i="1"/>
  <c r="I143" i="1"/>
  <c r="I149" i="1"/>
  <c r="I155" i="1"/>
  <c r="I172" i="1"/>
  <c r="I164" i="1"/>
  <c r="I144" i="1"/>
  <c r="I159" i="1" s="1"/>
  <c r="I150" i="1"/>
  <c r="I173" i="1"/>
  <c r="I165" i="1"/>
  <c r="I145" i="1"/>
  <c r="I151" i="1"/>
  <c r="I166" i="1"/>
  <c r="I177" i="1"/>
  <c r="I140" i="1"/>
  <c r="I146" i="1"/>
  <c r="I141" i="1"/>
  <c r="I147" i="1"/>
  <c r="AF64" i="1" l="1"/>
  <c r="AF56" i="1"/>
  <c r="AF58" i="1"/>
  <c r="AF49" i="1"/>
  <c r="AF63" i="1"/>
  <c r="AF42" i="1"/>
  <c r="AF57" i="1"/>
  <c r="N57" i="1" s="1"/>
  <c r="AF55" i="1"/>
  <c r="R55" i="1" s="1"/>
  <c r="AF72" i="1"/>
  <c r="AF82" i="1"/>
  <c r="AF87" i="1"/>
  <c r="D310" i="1" s="1"/>
  <c r="AF66" i="1"/>
  <c r="AF50" i="1"/>
  <c r="AF32" i="1"/>
  <c r="AF65" i="1"/>
  <c r="AF48" i="1"/>
  <c r="AF18" i="1"/>
  <c r="AF95" i="1"/>
  <c r="AF81" i="1"/>
  <c r="C309" i="1" s="1"/>
  <c r="AF97" i="1"/>
  <c r="AF47" i="1"/>
  <c r="R47" i="1" s="1"/>
  <c r="AF39" i="1"/>
  <c r="AF25" i="1"/>
  <c r="AF96" i="1"/>
  <c r="AF98" i="1"/>
  <c r="S95" i="1" s="1"/>
  <c r="AF89" i="1"/>
  <c r="AF79" i="1"/>
  <c r="Q81" i="1" s="1"/>
  <c r="AF74" i="1"/>
  <c r="AF73" i="1"/>
  <c r="AF40" i="1"/>
  <c r="AF34" i="1"/>
  <c r="AF31" i="1"/>
  <c r="P32" i="1" s="1"/>
  <c r="AF33" i="1"/>
  <c r="AF16" i="1"/>
  <c r="AF8" i="1"/>
  <c r="AF9" i="1"/>
  <c r="AF10" i="1"/>
  <c r="AF7" i="1"/>
  <c r="AF24" i="1"/>
  <c r="AF26" i="1"/>
  <c r="AF15" i="1"/>
  <c r="U71" i="1"/>
  <c r="M71" i="1"/>
  <c r="I121" i="1" s="1"/>
  <c r="AF90" i="1"/>
  <c r="AF41" i="1"/>
  <c r="Q71" i="1"/>
  <c r="S71" i="1"/>
  <c r="O71" i="1"/>
  <c r="R71" i="1"/>
  <c r="P71" i="1"/>
  <c r="AF23" i="1"/>
  <c r="T71" i="1"/>
  <c r="N71" i="1"/>
  <c r="N96" i="1" l="1"/>
  <c r="M97" i="1"/>
  <c r="A311" i="1" s="1"/>
  <c r="F311" i="1" s="1"/>
  <c r="S98" i="1"/>
  <c r="Q97" i="1"/>
  <c r="O95" i="1"/>
  <c r="R97" i="1"/>
  <c r="T96" i="1"/>
  <c r="T98" i="1"/>
  <c r="P95" i="1"/>
  <c r="P96" i="1"/>
  <c r="N97" i="1"/>
  <c r="O97" i="1"/>
  <c r="N98" i="1"/>
  <c r="M96" i="1"/>
  <c r="I128" i="1" s="1"/>
  <c r="T95" i="1"/>
  <c r="O96" i="1"/>
  <c r="U97" i="1"/>
  <c r="O87" i="1"/>
  <c r="M87" i="1"/>
  <c r="I125" i="1" s="1"/>
  <c r="U90" i="1"/>
  <c r="R87" i="1"/>
  <c r="S89" i="1"/>
  <c r="P87" i="1"/>
  <c r="T87" i="1"/>
  <c r="P89" i="1"/>
  <c r="Q87" i="1"/>
  <c r="M89" i="1"/>
  <c r="A310" i="1" s="1"/>
  <c r="F310" i="1" s="1"/>
  <c r="C310" i="1"/>
  <c r="O89" i="1"/>
  <c r="R89" i="1"/>
  <c r="S87" i="1"/>
  <c r="M90" i="1"/>
  <c r="P90" i="1"/>
  <c r="N87" i="1"/>
  <c r="Q89" i="1"/>
  <c r="O90" i="1"/>
  <c r="Q90" i="1"/>
  <c r="N89" i="1"/>
  <c r="S88" i="1"/>
  <c r="T90" i="1"/>
  <c r="P81" i="1"/>
  <c r="O79" i="1"/>
  <c r="M79" i="1"/>
  <c r="I123" i="1" s="1"/>
  <c r="T79" i="1"/>
  <c r="M82" i="1"/>
  <c r="S82" i="1"/>
  <c r="O81" i="1"/>
  <c r="N82" i="1"/>
  <c r="Q79" i="1"/>
  <c r="R82" i="1"/>
  <c r="Q82" i="1"/>
  <c r="M81" i="1"/>
  <c r="A309" i="1" s="1"/>
  <c r="F309" i="1" s="1"/>
  <c r="O80" i="1"/>
  <c r="U81" i="1"/>
  <c r="N81" i="1"/>
  <c r="U80" i="1"/>
  <c r="S80" i="1"/>
  <c r="R79" i="1"/>
  <c r="N79" i="1"/>
  <c r="P79" i="1"/>
  <c r="R81" i="1"/>
  <c r="R80" i="1"/>
  <c r="S81" i="1"/>
  <c r="T81" i="1"/>
  <c r="U79" i="1"/>
  <c r="T80" i="1"/>
  <c r="T72" i="1"/>
  <c r="B308" i="1"/>
  <c r="D307" i="1"/>
  <c r="S65" i="1"/>
  <c r="R64" i="1"/>
  <c r="O63" i="1"/>
  <c r="U65" i="1"/>
  <c r="N65" i="1"/>
  <c r="S63" i="1"/>
  <c r="Q63" i="1"/>
  <c r="T65" i="1"/>
  <c r="N64" i="1"/>
  <c r="Q64" i="1"/>
  <c r="U63" i="1"/>
  <c r="N66" i="1"/>
  <c r="R63" i="1"/>
  <c r="T64" i="1"/>
  <c r="M66" i="1"/>
  <c r="T66" i="1"/>
  <c r="O66" i="1"/>
  <c r="O64" i="1"/>
  <c r="M64" i="1"/>
  <c r="I120" i="1" s="1"/>
  <c r="N63" i="1"/>
  <c r="M63" i="1"/>
  <c r="I119" i="1" s="1"/>
  <c r="P66" i="1"/>
  <c r="S64" i="1"/>
  <c r="Q66" i="1"/>
  <c r="U66" i="1"/>
  <c r="T55" i="1"/>
  <c r="M55" i="1"/>
  <c r="I117" i="1" s="1"/>
  <c r="S57" i="1"/>
  <c r="O57" i="1"/>
  <c r="U57" i="1"/>
  <c r="O55" i="1"/>
  <c r="O58" i="1"/>
  <c r="M58" i="1"/>
  <c r="S56" i="1"/>
  <c r="S58" i="1"/>
  <c r="T57" i="1"/>
  <c r="Q56" i="1"/>
  <c r="R57" i="1"/>
  <c r="Q55" i="1"/>
  <c r="U55" i="1"/>
  <c r="M57" i="1"/>
  <c r="A306" i="1" s="1"/>
  <c r="F306" i="1" s="1"/>
  <c r="D306" i="1"/>
  <c r="U58" i="1"/>
  <c r="Q57" i="1"/>
  <c r="N55" i="1"/>
  <c r="P58" i="1"/>
  <c r="P55" i="1"/>
  <c r="C306" i="1"/>
  <c r="N58" i="1"/>
  <c r="S55" i="1"/>
  <c r="R58" i="1"/>
  <c r="Q58" i="1"/>
  <c r="P57" i="1"/>
  <c r="R50" i="1"/>
  <c r="P47" i="1"/>
  <c r="R48" i="1"/>
  <c r="N50" i="1"/>
  <c r="Q48" i="1"/>
  <c r="T40" i="1"/>
  <c r="P42" i="1"/>
  <c r="T41" i="1"/>
  <c r="D301" i="1"/>
  <c r="C308" i="1"/>
  <c r="O48" i="1"/>
  <c r="Q42" i="1"/>
  <c r="T97" i="1"/>
  <c r="P82" i="1"/>
  <c r="B306" i="1"/>
  <c r="S79" i="1"/>
  <c r="T58" i="1"/>
  <c r="R90" i="1"/>
  <c r="U87" i="1"/>
  <c r="U64" i="1"/>
  <c r="T63" i="1"/>
  <c r="P65" i="1"/>
  <c r="P56" i="1"/>
  <c r="P80" i="1"/>
  <c r="R56" i="1"/>
  <c r="M73" i="1"/>
  <c r="A308" i="1" s="1"/>
  <c r="F308" i="1" s="1"/>
  <c r="M48" i="1"/>
  <c r="I116" i="1" s="1"/>
  <c r="O50" i="1"/>
  <c r="Q80" i="1"/>
  <c r="T56" i="1"/>
  <c r="T48" i="1"/>
  <c r="S47" i="1"/>
  <c r="B307" i="1"/>
  <c r="M80" i="1"/>
  <c r="I124" i="1" s="1"/>
  <c r="M65" i="1"/>
  <c r="A307" i="1" s="1"/>
  <c r="F307" i="1" s="1"/>
  <c r="U56" i="1"/>
  <c r="Q47" i="1"/>
  <c r="C307" i="1"/>
  <c r="R65" i="1"/>
  <c r="M56" i="1"/>
  <c r="I118" i="1" s="1"/>
  <c r="U73" i="1"/>
  <c r="N56" i="1"/>
  <c r="O56" i="1"/>
  <c r="T42" i="1"/>
  <c r="T82" i="1"/>
  <c r="Q65" i="1"/>
  <c r="P40" i="1"/>
  <c r="S73" i="1"/>
  <c r="O73" i="1"/>
  <c r="M33" i="1"/>
  <c r="A303" i="1" s="1"/>
  <c r="F303" i="1" s="1"/>
  <c r="U47" i="1"/>
  <c r="R73" i="1"/>
  <c r="Q50" i="1"/>
  <c r="N49" i="1"/>
  <c r="Q40" i="1"/>
  <c r="U98" i="1"/>
  <c r="P73" i="1"/>
  <c r="Q73" i="1"/>
  <c r="T73" i="1"/>
  <c r="C305" i="1"/>
  <c r="R40" i="1"/>
  <c r="N73" i="1"/>
  <c r="T89" i="1"/>
  <c r="B305" i="1"/>
  <c r="R42" i="1"/>
  <c r="U82" i="1"/>
  <c r="P64" i="1"/>
  <c r="O82" i="1"/>
  <c r="B310" i="1"/>
  <c r="N90" i="1"/>
  <c r="O65" i="1"/>
  <c r="N80" i="1"/>
  <c r="P31" i="1"/>
  <c r="O34" i="1"/>
  <c r="U40" i="1"/>
  <c r="S33" i="1"/>
  <c r="O31" i="1"/>
  <c r="P74" i="1"/>
  <c r="M34" i="1"/>
  <c r="O33" i="1"/>
  <c r="N42" i="1"/>
  <c r="R34" i="1"/>
  <c r="N40" i="1"/>
  <c r="P98" i="1"/>
  <c r="P97" i="1"/>
  <c r="T34" i="1"/>
  <c r="P34" i="1"/>
  <c r="T31" i="1"/>
  <c r="M31" i="1"/>
  <c r="I111" i="1" s="1"/>
  <c r="N34" i="1"/>
  <c r="R72" i="1"/>
  <c r="M72" i="1"/>
  <c r="I122" i="1" s="1"/>
  <c r="P72" i="1"/>
  <c r="Q34" i="1"/>
  <c r="M40" i="1"/>
  <c r="I114" i="1" s="1"/>
  <c r="Q96" i="1"/>
  <c r="B311" i="1"/>
  <c r="R33" i="1"/>
  <c r="S31" i="1"/>
  <c r="U32" i="1"/>
  <c r="D311" i="1"/>
  <c r="R74" i="1"/>
  <c r="U34" i="1"/>
  <c r="O40" i="1"/>
  <c r="N33" i="1"/>
  <c r="M42" i="1"/>
  <c r="R96" i="1"/>
  <c r="T74" i="1"/>
  <c r="P33" i="1"/>
  <c r="U42" i="1"/>
  <c r="O32" i="1"/>
  <c r="S40" i="1"/>
  <c r="Q98" i="1"/>
  <c r="S42" i="1"/>
  <c r="R98" i="1"/>
  <c r="S74" i="1"/>
  <c r="O42" i="1"/>
  <c r="C311" i="1"/>
  <c r="U31" i="1"/>
  <c r="T32" i="1"/>
  <c r="R31" i="1"/>
  <c r="S97" i="1"/>
  <c r="U50" i="1"/>
  <c r="O47" i="1"/>
  <c r="N47" i="1"/>
  <c r="S48" i="1"/>
  <c r="R32" i="1"/>
  <c r="R66" i="1"/>
  <c r="S96" i="1"/>
  <c r="M98" i="1"/>
  <c r="U33" i="1"/>
  <c r="P50" i="1"/>
  <c r="S50" i="1"/>
  <c r="S66" i="1"/>
  <c r="M47" i="1"/>
  <c r="I115" i="1" s="1"/>
  <c r="S90" i="1"/>
  <c r="U89" i="1"/>
  <c r="Q74" i="1"/>
  <c r="P63" i="1"/>
  <c r="U72" i="1"/>
  <c r="N32" i="1"/>
  <c r="D303" i="1"/>
  <c r="U74" i="1"/>
  <c r="B309" i="1"/>
  <c r="D309" i="1"/>
  <c r="M74" i="1"/>
  <c r="S72" i="1"/>
  <c r="T47" i="1"/>
  <c r="O72" i="1"/>
  <c r="Q72" i="1"/>
  <c r="S34" i="1"/>
  <c r="D302" i="1"/>
  <c r="U96" i="1"/>
  <c r="O98" i="1"/>
  <c r="S32" i="1"/>
  <c r="O74" i="1"/>
  <c r="T33" i="1"/>
  <c r="Q32" i="1"/>
  <c r="D304" i="1"/>
  <c r="N72" i="1"/>
  <c r="D308" i="1"/>
  <c r="U7" i="1"/>
  <c r="D300" i="1"/>
  <c r="Q33" i="1"/>
  <c r="Q31" i="1"/>
  <c r="N31" i="1"/>
  <c r="M32" i="1"/>
  <c r="I112" i="1" s="1"/>
  <c r="U49" i="1"/>
  <c r="D305" i="1"/>
  <c r="P48" i="1"/>
  <c r="R49" i="1"/>
  <c r="T49" i="1"/>
  <c r="M49" i="1"/>
  <c r="A305" i="1" s="1"/>
  <c r="F305" i="1" s="1"/>
  <c r="N48" i="1"/>
  <c r="Q49" i="1"/>
  <c r="M50" i="1"/>
  <c r="S49" i="1"/>
  <c r="U48" i="1"/>
  <c r="O49" i="1"/>
  <c r="P49" i="1"/>
  <c r="N74" i="1"/>
  <c r="T50" i="1"/>
  <c r="U95" i="1"/>
  <c r="Q95" i="1"/>
  <c r="M95" i="1"/>
  <c r="I127" i="1" s="1"/>
  <c r="R95" i="1"/>
  <c r="N95" i="1"/>
  <c r="C303" i="1"/>
  <c r="B303" i="1"/>
  <c r="S7" i="1"/>
  <c r="P8" i="1"/>
  <c r="M8" i="1"/>
  <c r="I106" i="1" s="1"/>
  <c r="N9" i="1"/>
  <c r="O8" i="1"/>
  <c r="U9" i="1"/>
  <c r="S9" i="1"/>
  <c r="Q7" i="1"/>
  <c r="R9" i="1"/>
  <c r="T8" i="1"/>
  <c r="O9" i="1"/>
  <c r="O7" i="1"/>
  <c r="N8" i="1"/>
  <c r="T7" i="1"/>
  <c r="M9" i="1"/>
  <c r="A300" i="1" s="1"/>
  <c r="F300" i="1" s="1"/>
  <c r="R7" i="1"/>
  <c r="N7" i="1"/>
  <c r="P9" i="1"/>
  <c r="U8" i="1"/>
  <c r="S8" i="1"/>
  <c r="P7" i="1"/>
  <c r="Q8" i="1"/>
  <c r="R8" i="1"/>
  <c r="M7" i="1"/>
  <c r="I105" i="1" s="1"/>
  <c r="Q9" i="1"/>
  <c r="T9" i="1"/>
  <c r="N10" i="1"/>
  <c r="T10" i="1"/>
  <c r="M10" i="1"/>
  <c r="O10" i="1"/>
  <c r="Q10" i="1"/>
  <c r="U10" i="1"/>
  <c r="P10" i="1"/>
  <c r="S10" i="1"/>
  <c r="R10" i="1"/>
  <c r="C300" i="1"/>
  <c r="B300" i="1"/>
  <c r="M88" i="1"/>
  <c r="I126" i="1" s="1"/>
  <c r="O18" i="1"/>
  <c r="U17" i="1"/>
  <c r="O16" i="1"/>
  <c r="U15" i="1"/>
  <c r="C301" i="1"/>
  <c r="B301" i="1"/>
  <c r="P17" i="1"/>
  <c r="P15" i="1"/>
  <c r="U18" i="1"/>
  <c r="O17" i="1"/>
  <c r="U16" i="1"/>
  <c r="O15" i="1"/>
  <c r="T18" i="1"/>
  <c r="N17" i="1"/>
  <c r="T16" i="1"/>
  <c r="N15" i="1"/>
  <c r="R18" i="1"/>
  <c r="R16" i="1"/>
  <c r="Q18" i="1"/>
  <c r="P18" i="1"/>
  <c r="P16" i="1"/>
  <c r="T17" i="1"/>
  <c r="S16" i="1"/>
  <c r="T15" i="1"/>
  <c r="N18" i="1"/>
  <c r="M18" i="1"/>
  <c r="S18" i="1"/>
  <c r="S17" i="1"/>
  <c r="Q16" i="1"/>
  <c r="S15" i="1"/>
  <c r="R17" i="1"/>
  <c r="N16" i="1"/>
  <c r="Q17" i="1"/>
  <c r="M17" i="1"/>
  <c r="A301" i="1" s="1"/>
  <c r="F301" i="1" s="1"/>
  <c r="R15" i="1"/>
  <c r="Q15" i="1"/>
  <c r="M15" i="1"/>
  <c r="I107" i="1" s="1"/>
  <c r="M16" i="1"/>
  <c r="I108" i="1" s="1"/>
  <c r="P88" i="1"/>
  <c r="N39" i="1"/>
  <c r="T39" i="1"/>
  <c r="N88" i="1"/>
  <c r="N41" i="1"/>
  <c r="T88" i="1"/>
  <c r="U41" i="1"/>
  <c r="S41" i="1"/>
  <c r="O39" i="1"/>
  <c r="Q39" i="1"/>
  <c r="Q88" i="1"/>
  <c r="M39" i="1"/>
  <c r="I113" i="1" s="1"/>
  <c r="U88" i="1"/>
  <c r="O41" i="1"/>
  <c r="R39" i="1"/>
  <c r="B304" i="1"/>
  <c r="Q41" i="1"/>
  <c r="S39" i="1"/>
  <c r="R88" i="1"/>
  <c r="O88" i="1"/>
  <c r="R41" i="1"/>
  <c r="P39" i="1"/>
  <c r="O26" i="1"/>
  <c r="U25" i="1"/>
  <c r="O24" i="1"/>
  <c r="U23" i="1"/>
  <c r="T25" i="1"/>
  <c r="N24" i="1"/>
  <c r="P25" i="1"/>
  <c r="P23" i="1"/>
  <c r="U26" i="1"/>
  <c r="O25" i="1"/>
  <c r="U24" i="1"/>
  <c r="O23" i="1"/>
  <c r="T26" i="1"/>
  <c r="N25" i="1"/>
  <c r="T24" i="1"/>
  <c r="N23" i="1"/>
  <c r="C302" i="1"/>
  <c r="R26" i="1"/>
  <c r="R24" i="1"/>
  <c r="Q26" i="1"/>
  <c r="B302" i="1"/>
  <c r="Q24" i="1"/>
  <c r="P26" i="1"/>
  <c r="P24" i="1"/>
  <c r="N26" i="1"/>
  <c r="T23" i="1"/>
  <c r="S24" i="1"/>
  <c r="M24" i="1"/>
  <c r="I110" i="1" s="1"/>
  <c r="S23" i="1"/>
  <c r="R23" i="1"/>
  <c r="Q23" i="1"/>
  <c r="S25" i="1"/>
  <c r="M23" i="1"/>
  <c r="I109" i="1" s="1"/>
  <c r="R25" i="1"/>
  <c r="S26" i="1"/>
  <c r="Q25" i="1"/>
  <c r="M26" i="1"/>
  <c r="M25" i="1"/>
  <c r="A302" i="1" s="1"/>
  <c r="F302" i="1" s="1"/>
  <c r="U39" i="1"/>
  <c r="M41" i="1"/>
  <c r="A304" i="1" s="1"/>
  <c r="F304" i="1" s="1"/>
  <c r="P41" i="1"/>
  <c r="C304" i="1"/>
  <c r="E303" i="1" l="1"/>
  <c r="E302" i="1"/>
  <c r="E301" i="1"/>
  <c r="E304" i="1"/>
  <c r="E306" i="1"/>
  <c r="E308" i="1"/>
  <c r="E300" i="1"/>
  <c r="E305" i="1"/>
  <c r="E307" i="1"/>
  <c r="E310" i="1"/>
  <c r="E309" i="1"/>
  <c r="E311" i="1"/>
  <c r="I132" i="1" l="1"/>
  <c r="I136" i="1"/>
  <c r="I130" i="1"/>
  <c r="I135" i="1"/>
  <c r="I129" i="1"/>
  <c r="I134" i="1"/>
  <c r="I133" i="1"/>
  <c r="I131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<sst xmlns="http://schemas.openxmlformats.org/spreadsheetml/2006/main" count="943" uniqueCount="167">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</sst>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5" activePane="bottomLeft" state="frozen"/>
      <selection pane="bottomLeft" activeCell="A3" sqref="A3:K3"/>
    </sheetView>
  </sheetViews>
  <sheetFormatPr defaultColWidth="8.7109375" defaultRowHeight="15" x14ac:dyDescent="0.2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 x14ac:dyDescent="0.25">
      <c r="A2" s="67" t="s">
        <v>2</v>
      </c>
      <c r="B2" s="67"/>
      <c r="C2" s="67"/>
      <c r="D2" s="68" t="s">
        <v>166</v>
      </c>
      <c r="E2" s="68"/>
      <c r="F2" s="68"/>
      <c r="G2" s="68"/>
      <c r="H2" s="68"/>
      <c r="I2" s="68"/>
      <c r="J2" s="68"/>
      <c r="K2" s="68"/>
      <c r="M2" s="69" t="s">
        <v>3</v>
      </c>
      <c r="N2" s="69"/>
      <c r="O2" s="69"/>
      <c r="P2" s="69"/>
      <c r="Q2" s="69"/>
      <c r="R2" s="69"/>
      <c r="S2" s="69"/>
      <c r="T2" s="69"/>
      <c r="U2" s="69"/>
    </row>
    <row r="3" spans="1:32" ht="18" customHeight="1" x14ac:dyDescent="0.25">
      <c r="A3" s="63" t="s">
        <v>4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5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 x14ac:dyDescent="0.25"/>
    <row r="5" spans="1:32" ht="18.75" customHeight="1" x14ac:dyDescent="0.25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7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25">
      <c r="A7" s="3">
        <v>1</v>
      </c>
      <c r="B7" s="3" t="s">
        <v>27</v>
      </c>
      <c r="C7" s="4" t="s">
        <v>28</v>
      </c>
      <c r="D7" s="5">
        <v>1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3</v>
      </c>
      <c r="P7" s="3">
        <f>IF(AND(ISNUMBER(D7),ISNUMBER(D8),ISNUMBER(D9),ISNUMBER(D10),ISNUMBER(D11),ISNUMBER(D12)),IF(AF7=1,Z7,IF(AF8=1,Z8,IF(AF9=1,Z9,IF(AF10=1,Z10,"")))),"")</f>
        <v>0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4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3</v>
      </c>
      <c r="U7" s="3">
        <f>IF(AND(ISNUMBER(D7),ISNUMBER(D8),ISNUMBER(D9),ISNUMBER(D10),ISNUMBER(D11),ISNUMBER(D12)),IF(AF7=1,AE7,IF(AF8=1,AE8,IF(AF9=1,AE9,IF(AF10=1,AE10,"")))),"")</f>
        <v>9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3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0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4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1</v>
      </c>
      <c r="AD7">
        <f>AB7-AC7</f>
        <v>3</v>
      </c>
      <c r="AE7">
        <f>3*Y7+Z7</f>
        <v>9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25">
      <c r="A8" s="7">
        <v>2</v>
      </c>
      <c r="B8" s="7" t="s">
        <v>27</v>
      </c>
      <c r="C8" s="8" t="s">
        <v>35</v>
      </c>
      <c r="D8" s="5">
        <v>1</v>
      </c>
      <c r="E8" s="7" t="s">
        <v>29</v>
      </c>
      <c r="F8" s="5">
        <v>0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Sør-Korea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0</v>
      </c>
      <c r="Q8" s="3">
        <f>IF(AND(ISNUMBER(D7),ISNUMBER(D8),ISNUMBER(D9),ISNUMBER(D10),ISNUMBER(D11),ISNUMBER(D12)),IF(AF7=2,AA7,IF(AF8=2,AA8,IF(AF9=2,AA9,IF(AF10=2,AA10,"")))),"")</f>
        <v>1</v>
      </c>
      <c r="R8" s="3">
        <f>IF(AND(ISNUMBER(D7),ISNUMBER(D8),ISNUMBER(D9),ISNUMBER(D10),ISNUMBER(D11),ISNUMBER(D12)),IF(AF7=2,AB7,IF(AF8=2,AB8,IF(AF9=2,AB9,IF(AF10=2,AB10,"")))),"")</f>
        <v>3</v>
      </c>
      <c r="S8" s="3">
        <f>IF(AND(ISNUMBER(D7),ISNUMBER(D8),ISNUMBER(D9),ISNUMBER(D10),ISNUMBER(D11),ISNUMBER(D12)),IF(AF7=2,AC7,IF(AF8=2,AC8,IF(AF9=2,AC9,IF(AF10=2,AC10,"")))),"")</f>
        <v>2</v>
      </c>
      <c r="T8" s="3">
        <f>IF(AND(ISNUMBER(D7),ISNUMBER(D8),ISNUMBER(D9),ISNUMBER(D10),ISNUMBER(D11),ISNUMBER(D12)),IF(AF7=2,AD7,IF(AF8=2,AD8,IF(AF9=2,AD9,IF(AF10=2,AD10,"")))),"")</f>
        <v>1</v>
      </c>
      <c r="U8" s="3">
        <f>IF(AND(ISNUMBER(D7),ISNUMBER(D8),ISNUMBER(D9),ISNUMBER(D10),ISNUMBER(D11),ISNUMBER(D12)),IF(AF7=2,AE7,IF(AF8=2,AE8,IF(AF9=2,AE9,IF(AF10=2,AE10,"")))),"")</f>
        <v>6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1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2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1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3</v>
      </c>
      <c r="AD8">
        <f>AB8-AC8</f>
        <v>-2</v>
      </c>
      <c r="AE8">
        <f>3*Y8+Z8</f>
        <v>1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25">
      <c r="A9" s="3">
        <v>3</v>
      </c>
      <c r="B9" s="3" t="s">
        <v>27</v>
      </c>
      <c r="C9" s="4" t="s">
        <v>36</v>
      </c>
      <c r="D9" s="5">
        <v>1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Tsjekkia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1</v>
      </c>
      <c r="S9" s="3">
        <f>IF(AND(ISNUMBER(D7),ISNUMBER(D8),ISNUMBER(D9),ISNUMBER(D10),ISNUMBER(D11),ISNUMBER(D12)),IF(AF7=3,AC7,IF(AF8=3,AC8,IF(AF9=3,AC9,IF(AF10=3,AC10,"")))),"")</f>
        <v>3</v>
      </c>
      <c r="T9" s="3">
        <f>IF(AND(ISNUMBER(D7),ISNUMBER(D8),ISNUMBER(D9),ISNUMBER(D10),ISNUMBER(D11),ISNUMBER(D12)),IF(AF7=3,AD7,IF(AF8=3,AD8,IF(AF9=3,AD9,IF(AF10=3,AD10,"")))),"")</f>
        <v>-2</v>
      </c>
      <c r="U9" s="3">
        <f>IF(AND(ISNUMBER(D7),ISNUMBER(D8),ISNUMBER(D9),ISNUMBER(D10),ISNUMBER(D11),ISNUMBER(D12)),IF(AF7=3,AE7,IF(AF8=3,AE8,IF(AF9=3,AE9,IF(AF10=3,AE10,"")))),"")</f>
        <v>1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2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0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1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3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2</v>
      </c>
      <c r="AD9">
        <f>AB9-AC9</f>
        <v>1</v>
      </c>
      <c r="AE9">
        <f>3*Y9+Z9</f>
        <v>6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2</v>
      </c>
    </row>
    <row r="10" spans="1:32" ht="16.5" customHeight="1" x14ac:dyDescent="0.25">
      <c r="A10" s="7">
        <v>4</v>
      </c>
      <c r="B10" s="7" t="s">
        <v>27</v>
      </c>
      <c r="C10" s="8" t="s">
        <v>28</v>
      </c>
      <c r="D10" s="5">
        <v>2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1</v>
      </c>
      <c r="Q10" s="3">
        <f>IF(AND(ISNUMBER(D7),ISNUMBER(D8),ISNUMBER(D9),ISNUMBER(D10),ISNUMBER(D11),ISNUMBER(D12)),IF(AF7=4,AA7,IF(AF8=4,AA8,IF(AF9=4,AA9,IF(AF10=4,AA10,"")))),"")</f>
        <v>2</v>
      </c>
      <c r="R10" s="3">
        <f>IF(AND(ISNUMBER(D7),ISNUMBER(D8),ISNUMBER(D9),ISNUMBER(D10),ISNUMBER(D11),ISNUMBER(D12)),IF(AF7=4,AB7,IF(AF8=4,AB8,IF(AF9=4,AB9,IF(AF10=4,AB10,"")))),"")</f>
        <v>1</v>
      </c>
      <c r="S10" s="3">
        <f>IF(AND(ISNUMBER(D7),ISNUMBER(D8),ISNUMBER(D9),ISNUMBER(D10),ISNUMBER(D11),ISNUMBER(D12)),IF(AF7=4,AC7,IF(AF8=4,AC8,IF(AF9=4,AC9,IF(AF10=4,AC10,"")))),"")</f>
        <v>3</v>
      </c>
      <c r="T10" s="3">
        <f>IF(AND(ISNUMBER(D7),ISNUMBER(D8),ISNUMBER(D9),ISNUMBER(D10),ISNUMBER(D11),ISNUMBER(D12)),IF(AF7=4,AD7,IF(AF8=4,AD8,IF(AF9=4,AD9,IF(AF10=4,AD10,"")))),"")</f>
        <v>-2</v>
      </c>
      <c r="U10" s="3">
        <f>IF(AND(ISNUMBER(D7),ISNUMBER(D8),ISNUMBER(D9),ISNUMBER(D10),ISNUMBER(D11),ISNUMBER(D12)),IF(AF7=4,AE7,IF(AF8=4,AE8,IF(AF9=4,AE9,IF(AF10=4,AE10,"")))),"")</f>
        <v>1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2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1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3</v>
      </c>
      <c r="AD10">
        <f>AB10-AC10</f>
        <v>-2</v>
      </c>
      <c r="AE10">
        <f>3*Y10+Z10</f>
        <v>1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3</v>
      </c>
    </row>
    <row r="11" spans="1:32" ht="16.5" customHeight="1" x14ac:dyDescent="0.25">
      <c r="A11" s="3">
        <v>5</v>
      </c>
      <c r="B11" s="3" t="s">
        <v>27</v>
      </c>
      <c r="C11" s="4" t="s">
        <v>28</v>
      </c>
      <c r="D11" s="5">
        <v>1</v>
      </c>
      <c r="E11" s="3" t="s">
        <v>29</v>
      </c>
      <c r="F11" s="5">
        <v>0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25">
      <c r="A12" s="7">
        <v>6</v>
      </c>
      <c r="B12" s="7" t="s">
        <v>27</v>
      </c>
      <c r="C12" s="8" t="s">
        <v>30</v>
      </c>
      <c r="D12" s="5">
        <v>0</v>
      </c>
      <c r="E12" s="7" t="s">
        <v>29</v>
      </c>
      <c r="F12" s="5">
        <v>1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25">
      <c r="A13" s="56" t="s">
        <v>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49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25">
      <c r="A15" s="3">
        <v>7</v>
      </c>
      <c r="B15" s="3" t="s">
        <v>50</v>
      </c>
      <c r="C15" s="4" t="s">
        <v>51</v>
      </c>
      <c r="D15" s="5">
        <v>0</v>
      </c>
      <c r="E15" s="3" t="s">
        <v>29</v>
      </c>
      <c r="F15" s="5">
        <v>0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4</v>
      </c>
      <c r="S15" s="3">
        <f>IF(AND(ISNUMBER(D15),ISNUMBER(D16),ISNUMBER(D17),ISNUMBER(D18),ISNUMBER(D19),ISNUMBER(D20)),IF(AF15=1,AC15,IF(AF16=1,AC16,IF(AF17=1,AC17,IF(AF18=1,AC18,"")))),"")</f>
        <v>0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1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2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1</v>
      </c>
      <c r="AD15">
        <f>AB15-AC15</f>
        <v>1</v>
      </c>
      <c r="AE15">
        <f>3*Y15+Z15</f>
        <v>4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2</v>
      </c>
    </row>
    <row r="16" spans="1:32" ht="16.5" customHeight="1" x14ac:dyDescent="0.25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2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2</v>
      </c>
      <c r="S16" s="3">
        <f>IF(AND(ISNUMBER(D15),ISNUMBER(D16),ISNUMBER(D17),ISNUMBER(D18),ISNUMBER(D19),ISNUMBER(D20)),IF(AF15=2,AC15,IF(AF16=2,AC16,IF(AF17=2,AC17,IF(AF18=2,AC18,"")))),"")</f>
        <v>1</v>
      </c>
      <c r="T16" s="3">
        <f>IF(AND(ISNUMBER(D15),ISNUMBER(D16),ISNUMBER(D17),ISNUMBER(D18),ISNUMBER(D19),ISNUMBER(D20)),IF(AF15=2,AD15,IF(AF16=2,AD16,IF(AF17=2,AD17,IF(AF18=2,AD18,"")))),"")</f>
        <v>1</v>
      </c>
      <c r="U16" s="3">
        <f>IF(AND(ISNUMBER(D15),ISNUMBER(D16),ISNUMBER(D17),ISNUMBER(D18),ISNUMBER(D19),ISNUMBER(D20)),IF(AF15=2,AE15,IF(AF16=2,AE16,IF(AF17=2,AE17,IF(AF18=2,AE18,"")))),"")</f>
        <v>4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1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1</v>
      </c>
      <c r="AD16">
        <f>AB16-AC16</f>
        <v>0</v>
      </c>
      <c r="AE16">
        <f>3*Y16+Z16</f>
        <v>4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 x14ac:dyDescent="0.25">
      <c r="A17" s="3">
        <v>9</v>
      </c>
      <c r="B17" s="3" t="s">
        <v>50</v>
      </c>
      <c r="C17" s="4" t="s">
        <v>55</v>
      </c>
      <c r="D17" s="5">
        <v>1</v>
      </c>
      <c r="E17" s="3" t="s">
        <v>29</v>
      </c>
      <c r="F17" s="5">
        <v>0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1</v>
      </c>
      <c r="Q17" s="3">
        <f>IF(AND(ISNUMBER(D15),ISNUMBER(D16),ISNUMBER(D17),ISNUMBER(D18),ISNUMBER(D19),ISNUMBER(D20)),IF(AF15=3,AA15,IF(AF16=3,AA16,IF(AF17=3,AA17,IF(AF18=3,AA18,"")))),"")</f>
        <v>1</v>
      </c>
      <c r="R17" s="3">
        <f>IF(AND(ISNUMBER(D15),ISNUMBER(D16),ISNUMBER(D17),ISNUMBER(D18),ISNUMBER(D19),ISNUMBER(D20)),IF(AF15=3,AB15,IF(AF16=3,AB16,IF(AF17=3,AB17,IF(AF18=3,AB18,"")))),"")</f>
        <v>1</v>
      </c>
      <c r="S17" s="3">
        <f>IF(AND(ISNUMBER(D15),ISNUMBER(D16),ISNUMBER(D17),ISNUMBER(D18),ISNUMBER(D19),ISNUMBER(D20)),IF(AF15=3,AC15,IF(AF16=3,AC16,IF(AF17=3,AC17,IF(AF18=3,AC18,"")))),"")</f>
        <v>1</v>
      </c>
      <c r="T17" s="3">
        <f>IF(AND(ISNUMBER(D15),ISNUMBER(D16),ISNUMBER(D17),ISNUMBER(D18),ISNUMBER(D19),ISNUMBER(D20)),IF(AF15=3,AD15,IF(AF16=3,AD16,IF(AF17=3,AD17,IF(AF18=3,AD18,"")))),"")</f>
        <v>0</v>
      </c>
      <c r="U17" s="3">
        <f>IF(AND(ISNUMBER(D15),ISNUMBER(D16),ISNUMBER(D17),ISNUMBER(D18),ISNUMBER(D19),ISNUMBER(D20)),IF(AF15=3,AE15,IF(AF16=3,AE16,IF(AF17=3,AE17,IF(AF18=3,AE18,"")))),"")</f>
        <v>4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0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5</v>
      </c>
      <c r="AD17">
        <f>AB17-AC17</f>
        <v>-5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25">
      <c r="A18" s="7">
        <v>10</v>
      </c>
      <c r="B18" s="7" t="s">
        <v>50</v>
      </c>
      <c r="C18" s="8" t="s">
        <v>51</v>
      </c>
      <c r="D18" s="5">
        <v>2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0</v>
      </c>
      <c r="S18" s="3">
        <f>IF(AND(ISNUMBER(D15),ISNUMBER(D16),ISNUMBER(D17),ISNUMBER(D18),ISNUMBER(D19),ISNUMBER(D20)),IF(AF15=4,AC15,IF(AF16=4,AC16,IF(AF17=4,AC17,IF(AF18=4,AC18,"")))),"")</f>
        <v>5</v>
      </c>
      <c r="T18" s="3">
        <f>IF(AND(ISNUMBER(D15),ISNUMBER(D16),ISNUMBER(D17),ISNUMBER(D18),ISNUMBER(D19),ISNUMBER(D20)),IF(AF15=4,AD15,IF(AF16=4,AD16,IF(AF17=4,AD17,IF(AF18=4,AD18,"")))),"")</f>
        <v>-5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4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0</v>
      </c>
      <c r="AD18">
        <f>AB18-AC18</f>
        <v>4</v>
      </c>
      <c r="AE18">
        <f>3*Y18+Z18</f>
        <v>9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25">
      <c r="A19" s="3">
        <v>11</v>
      </c>
      <c r="B19" s="3" t="s">
        <v>50</v>
      </c>
      <c r="C19" s="4" t="s">
        <v>55</v>
      </c>
      <c r="D19" s="5">
        <v>1</v>
      </c>
      <c r="E19" s="3" t="s">
        <v>29</v>
      </c>
      <c r="F19" s="5">
        <v>0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25">
      <c r="A20" s="7">
        <v>12</v>
      </c>
      <c r="B20" s="7" t="s">
        <v>50</v>
      </c>
      <c r="C20" s="8" t="s">
        <v>52</v>
      </c>
      <c r="D20" s="5">
        <v>1</v>
      </c>
      <c r="E20" s="7" t="s">
        <v>29</v>
      </c>
      <c r="F20" s="5">
        <v>0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25">
      <c r="A21" s="56" t="s">
        <v>63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64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25">
      <c r="A23" s="3">
        <v>13</v>
      </c>
      <c r="B23" s="3" t="s">
        <v>65</v>
      </c>
      <c r="C23" s="4" t="s">
        <v>66</v>
      </c>
      <c r="D23" s="5">
        <v>2</v>
      </c>
      <c r="E23" s="3" t="s">
        <v>29</v>
      </c>
      <c r="F23" s="5">
        <v>1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6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5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6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5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25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1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0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4</v>
      </c>
      <c r="S24" s="3">
        <f>IF(AND(ISNUMBER(D23),ISNUMBER(D24),ISNUMBER(D25),ISNUMBER(D26),ISNUMBER(D27),ISNUMBER(D28)),IF(AF23=2,AC23,IF(AF24=2,AC24,IF(AF25=2,AC25,IF(AF26=2,AC26,"")))),"")</f>
        <v>2</v>
      </c>
      <c r="T24" s="3">
        <f>IF(AND(ISNUMBER(D23),ISNUMBER(D24),ISNUMBER(D25),ISNUMBER(D26),ISNUMBER(D27),ISNUMBER(D28)),IF(AF23=2,AD23,IF(AF24=2,AD24,IF(AF25=2,AD25,IF(AF26=2,AD26,"")))),"")</f>
        <v>2</v>
      </c>
      <c r="U24" s="3">
        <f>IF(AND(ISNUMBER(D23),ISNUMBER(D24),ISNUMBER(D25),ISNUMBER(D26),ISNUMBER(D27),ISNUMBER(D28)),IF(AF23=2,AE23,IF(AF24=2,AE24,IF(AF25=2,AE25,IF(AF26=2,AE26,"")))),"")</f>
        <v>6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0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4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2</v>
      </c>
      <c r="AD24">
        <f>AB24-AC24</f>
        <v>2</v>
      </c>
      <c r="AE24">
        <f>3*Y24+Z24</f>
        <v>6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 x14ac:dyDescent="0.25">
      <c r="A25" s="3">
        <v>15</v>
      </c>
      <c r="B25" s="3" t="s">
        <v>65</v>
      </c>
      <c r="C25" s="4" t="s">
        <v>71</v>
      </c>
      <c r="D25" s="5">
        <v>0</v>
      </c>
      <c r="E25" s="3" t="s">
        <v>29</v>
      </c>
      <c r="F25" s="5">
        <v>1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1</v>
      </c>
      <c r="S25" s="3">
        <f>IF(AND(ISNUMBER(D23),ISNUMBER(D24),ISNUMBER(D25),ISNUMBER(D26),ISNUMBER(D27),ISNUMBER(D28)),IF(AF23=3,AC23,IF(AF24=3,AC24,IF(AF25=3,AC25,IF(AF26=3,AC26,"")))),"")</f>
        <v>3</v>
      </c>
      <c r="T25" s="3">
        <f>IF(AND(ISNUMBER(D23),ISNUMBER(D24),ISNUMBER(D25),ISNUMBER(D26),ISNUMBER(D27),ISNUMBER(D28)),IF(AF23=3,AD23,IF(AF24=3,AD24,IF(AF25=3,AD25,IF(AF26=3,AD26,"")))),"")</f>
        <v>-2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5</v>
      </c>
      <c r="AD25">
        <f>AB25-AC25</f>
        <v>-5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25">
      <c r="A26" s="7">
        <v>16</v>
      </c>
      <c r="B26" s="7" t="s">
        <v>65</v>
      </c>
      <c r="C26" s="8" t="s">
        <v>66</v>
      </c>
      <c r="D26" s="5">
        <v>2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5</v>
      </c>
      <c r="T26" s="3">
        <f>IF(AND(ISNUMBER(D23),ISNUMBER(D24),ISNUMBER(D25),ISNUMBER(D26),ISNUMBER(D27),ISNUMBER(D28)),IF(AF23=4,AD23,IF(AF24=4,AD24,IF(AF25=4,AD25,IF(AF26=4,AD26,"")))),"")</f>
        <v>-5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1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3</v>
      </c>
      <c r="AD26">
        <f>AB26-AC26</f>
        <v>-2</v>
      </c>
      <c r="AE26">
        <f>3*Y26+Z26</f>
        <v>3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25">
      <c r="A27" s="3">
        <v>17</v>
      </c>
      <c r="B27" s="3" t="s">
        <v>65</v>
      </c>
      <c r="C27" s="4" t="s">
        <v>71</v>
      </c>
      <c r="D27" s="5">
        <v>0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25">
      <c r="A28" s="7">
        <v>18</v>
      </c>
      <c r="B28" s="7" t="s">
        <v>65</v>
      </c>
      <c r="C28" s="8" t="s">
        <v>67</v>
      </c>
      <c r="D28" s="5">
        <v>2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25">
      <c r="A29" s="56" t="s">
        <v>76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77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25">
      <c r="A31" s="3">
        <v>19</v>
      </c>
      <c r="B31" s="3" t="s">
        <v>78</v>
      </c>
      <c r="C31" s="4" t="s">
        <v>79</v>
      </c>
      <c r="D31" s="5">
        <v>1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3</v>
      </c>
      <c r="S31" s="3">
        <f>IF(AND(ISNUMBER(D31),ISNUMBER(D32),ISNUMBER(D33),ISNUMBER(D34),ISNUMBER(D35),ISNUMBER(D36)),IF(AF31=1,AC31,IF(AF32=1,AC32,IF(AF33=1,AC33,IF(AF34=1,AC34,"")))),"")</f>
        <v>1</v>
      </c>
      <c r="T31" s="3">
        <f>IF(AND(ISNUMBER(D31),ISNUMBER(D32),ISNUMBER(D33),ISNUMBER(D34),ISNUMBER(D35),ISNUMBER(D36)),IF(AF31=1,AD31,IF(AF32=1,AD32,IF(AF33=1,AD33,IF(AF34=1,AD34,"")))),"")</f>
        <v>2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1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1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2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2</v>
      </c>
      <c r="AD31">
        <f>AB31-AC31</f>
        <v>0</v>
      </c>
      <c r="AE31">
        <f>3*Y31+Z31</f>
        <v>4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2</v>
      </c>
    </row>
    <row r="32" spans="1:32" ht="16.5" customHeight="1" x14ac:dyDescent="0.25">
      <c r="A32" s="7">
        <v>20</v>
      </c>
      <c r="B32" s="7" t="s">
        <v>78</v>
      </c>
      <c r="C32" s="8" t="s">
        <v>81</v>
      </c>
      <c r="D32" s="5">
        <v>0</v>
      </c>
      <c r="E32" s="7" t="s">
        <v>29</v>
      </c>
      <c r="F32" s="5">
        <v>1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USA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2</v>
      </c>
      <c r="S32" s="3">
        <f>IF(AND(ISNUMBER(D31),ISNUMBER(D32),ISNUMBER(D33),ISNUMBER(D34),ISNUMBER(D35),ISNUMBER(D36)),IF(AF31=2,AC31,IF(AF32=2,AC32,IF(AF33=2,AC33,IF(AF34=2,AC34,"")))),"")</f>
        <v>2</v>
      </c>
      <c r="T32" s="3">
        <f>IF(AND(ISNUMBER(D31),ISNUMBER(D32),ISNUMBER(D33),ISNUMBER(D34),ISNUMBER(D35),ISNUMBER(D36)),IF(AF31=2,AD31,IF(AF32=2,AD32,IF(AF33=2,AD33,IF(AF34=2,AD34,"")))),"")</f>
        <v>0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3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0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3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0</v>
      </c>
      <c r="AE32">
        <f>3*Y32+Z32</f>
        <v>3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3</v>
      </c>
    </row>
    <row r="33" spans="1:32" ht="16.5" customHeight="1" x14ac:dyDescent="0.25">
      <c r="A33" s="3">
        <v>21</v>
      </c>
      <c r="B33" s="3" t="s">
        <v>78</v>
      </c>
      <c r="C33" s="4" t="s">
        <v>79</v>
      </c>
      <c r="D33" s="5">
        <v>1</v>
      </c>
      <c r="E33" s="3" t="s">
        <v>29</v>
      </c>
      <c r="F33" s="5">
        <v>0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Paraguay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3</v>
      </c>
      <c r="Q33" s="3">
        <f>IF(AND(ISNUMBER(D31),ISNUMBER(D32),ISNUMBER(D33),ISNUMBER(D34),ISNUMBER(D35),ISNUMBER(D36)),IF(AF31=3,AA31,IF(AF32=3,AA32,IF(AF33=3,AA33,IF(AF34=3,AA34,"")))),"")</f>
        <v>0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3</v>
      </c>
      <c r="T33" s="3">
        <f>IF(AND(ISNUMBER(D31),ISNUMBER(D32),ISNUMBER(D33),ISNUMBER(D34),ISNUMBER(D35),ISNUMBER(D36)),IF(AF31=3,AD31,IF(AF32=3,AD32,IF(AF33=3,AD33,IF(AF34=3,AD34,"")))),"")</f>
        <v>0</v>
      </c>
      <c r="U33" s="3">
        <f>IF(AND(ISNUMBER(D31),ISNUMBER(D32),ISNUMBER(D33),ISNUMBER(D34),ISNUMBER(D35),ISNUMBER(D36)),IF(AF31=3,AE31,IF(AF32=3,AE32,IF(AF33=3,AE33,IF(AF34=3,AE34,"")))),"")</f>
        <v>3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1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2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1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3</v>
      </c>
      <c r="AD33">
        <f>AB33-AC33</f>
        <v>-2</v>
      </c>
      <c r="AE33">
        <f>3*Y33+Z33</f>
        <v>1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4</v>
      </c>
    </row>
    <row r="34" spans="1:32" ht="16.5" customHeight="1" x14ac:dyDescent="0.25">
      <c r="A34" s="7">
        <v>22</v>
      </c>
      <c r="B34" s="7" t="s">
        <v>78</v>
      </c>
      <c r="C34" s="8" t="s">
        <v>82</v>
      </c>
      <c r="D34" s="5">
        <v>1</v>
      </c>
      <c r="E34" s="7" t="s">
        <v>29</v>
      </c>
      <c r="F34" s="5">
        <v>1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1</v>
      </c>
      <c r="S34" s="3">
        <f>IF(AND(ISNUMBER(D31),ISNUMBER(D32),ISNUMBER(D33),ISNUMBER(D34),ISNUMBER(D35),ISNUMBER(D36)),IF(AF31=4,AC31,IF(AF32=4,AC32,IF(AF33=4,AC33,IF(AF34=4,AC34,"")))),"")</f>
        <v>3</v>
      </c>
      <c r="T34" s="3">
        <f>IF(AND(ISNUMBER(D31),ISNUMBER(D32),ISNUMBER(D33),ISNUMBER(D34),ISNUMBER(D35),ISNUMBER(D36)),IF(AF31=4,AD31,IF(AF32=4,AD32,IF(AF33=4,AD33,IF(AF34=4,AD34,"")))),"")</f>
        <v>-2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2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3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1</v>
      </c>
      <c r="AD34">
        <f>AB34-AC34</f>
        <v>2</v>
      </c>
      <c r="AE34">
        <f>3*Y34+Z34</f>
        <v>7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1</v>
      </c>
    </row>
    <row r="35" spans="1:32" ht="16.5" customHeight="1" x14ac:dyDescent="0.25">
      <c r="A35" s="3">
        <v>23</v>
      </c>
      <c r="B35" s="3" t="s">
        <v>78</v>
      </c>
      <c r="C35" s="4" t="s">
        <v>82</v>
      </c>
      <c r="D35" s="5">
        <v>1</v>
      </c>
      <c r="E35" s="3" t="s">
        <v>29</v>
      </c>
      <c r="F35" s="5">
        <v>0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25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1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25">
      <c r="A37" s="56" t="s">
        <v>85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86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25">
      <c r="A39" s="3">
        <v>25</v>
      </c>
      <c r="B39" s="3" t="s">
        <v>87</v>
      </c>
      <c r="C39" s="4" t="s">
        <v>88</v>
      </c>
      <c r="D39" s="5">
        <v>3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6</v>
      </c>
      <c r="S39" s="3">
        <f>IF(AND(ISNUMBER(D39),ISNUMBER(D40),ISNUMBER(D41),ISNUMBER(D42),ISNUMBER(D43),ISNUMBER(D44)),IF(AF39=1,AC39,IF(AF40=1,AC40,IF(AF41=1,AC41,IF(AF42=1,AC42,"")))),"")</f>
        <v>0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6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0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25">
      <c r="A40" s="7">
        <v>26</v>
      </c>
      <c r="B40" s="7" t="s">
        <v>87</v>
      </c>
      <c r="C40" s="8" t="s">
        <v>92</v>
      </c>
      <c r="D40" s="5">
        <v>1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Ecuador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1</v>
      </c>
      <c r="P40" s="3">
        <f>IF(AND(ISNUMBER(D39),ISNUMBER(D40),ISNUMBER(D41),ISNUMBER(D42),ISNUMBER(D43),ISNUMBER(D44)),IF(AF39=2,Z39,IF(AF40=2,Z40,IF(AF41=2,Z41,IF(AF42=2,Z42,"")))),"")</f>
        <v>1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2</v>
      </c>
      <c r="S40" s="3">
        <f>IF(AND(ISNUMBER(D39),ISNUMBER(D40),ISNUMBER(D41),ISNUMBER(D42),ISNUMBER(D43),ISNUMBER(D44)),IF(AF39=2,AC39,IF(AF40=2,AC40,IF(AF41=2,AC41,IF(AF42=2,AC42,"")))),"")</f>
        <v>2</v>
      </c>
      <c r="T40" s="3">
        <f>IF(AND(ISNUMBER(D39),ISNUMBER(D40),ISNUMBER(D41),ISNUMBER(D42),ISNUMBER(D43),ISNUMBER(D44)),IF(AF39=2,AD39,IF(AF40=2,AD40,IF(AF41=2,AD41,IF(AF42=2,AD42,"")))),"")</f>
        <v>0</v>
      </c>
      <c r="U40" s="3">
        <f>IF(AND(ISNUMBER(D39),ISNUMBER(D40),ISNUMBER(D41),ISNUMBER(D42),ISNUMBER(D43),ISNUMBER(D44)),IF(AF39=2,AE39,IF(AF40=2,AE40,IF(AF41=2,AE41,IF(AF42=2,AE42,"")))),"")</f>
        <v>4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5</v>
      </c>
      <c r="AD40">
        <f>AB40-AC40</f>
        <v>-5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25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0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Elfenbenskysten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1</v>
      </c>
      <c r="Q41" s="3">
        <f>IF(AND(ISNUMBER(D39),ISNUMBER(D40),ISNUMBER(D41),ISNUMBER(D42),ISNUMBER(D43),ISNUMBER(D44)),IF(AF39=3,AA39,IF(AF40=3,AA40,IF(AF41=3,AA41,IF(AF42=3,AA42,"")))),"")</f>
        <v>1</v>
      </c>
      <c r="R41" s="3">
        <f>IF(AND(ISNUMBER(D39),ISNUMBER(D40),ISNUMBER(D41),ISNUMBER(D42),ISNUMBER(D43),ISNUMBER(D44)),IF(AF39=3,AB39,IF(AF40=3,AB40,IF(AF41=3,AB41,IF(AF42=3,AB42,"")))),"")</f>
        <v>2</v>
      </c>
      <c r="S41" s="3">
        <f>IF(AND(ISNUMBER(D39),ISNUMBER(D40),ISNUMBER(D41),ISNUMBER(D42),ISNUMBER(D43),ISNUMBER(D44)),IF(AF39=3,AC39,IF(AF40=3,AC40,IF(AF41=3,AC41,IF(AF42=3,AC42,"")))),"")</f>
        <v>3</v>
      </c>
      <c r="T41" s="3">
        <f>IF(AND(ISNUMBER(D39),ISNUMBER(D40),ISNUMBER(D41),ISNUMBER(D42),ISNUMBER(D43),ISNUMBER(D44)),IF(AF39=3,AD39,IF(AF40=3,AD40,IF(AF41=3,AD41,IF(AF42=3,AD42,"")))),"")</f>
        <v>-1</v>
      </c>
      <c r="U41" s="3">
        <f>IF(AND(ISNUMBER(D39),ISNUMBER(D40),ISNUMBER(D41),ISNUMBER(D42),ISNUMBER(D43),ISNUMBER(D44)),IF(AF39=3,AE39,IF(AF40=3,AE40,IF(AF41=3,AE41,IF(AF42=3,AE42,"")))),"")</f>
        <v>4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1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2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-1</v>
      </c>
      <c r="AE41">
        <f>3*Y41+Z41</f>
        <v>4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3</v>
      </c>
    </row>
    <row r="42" spans="1:32" ht="16.5" customHeight="1" x14ac:dyDescent="0.25">
      <c r="A42" s="7">
        <v>28</v>
      </c>
      <c r="B42" s="7" t="s">
        <v>87</v>
      </c>
      <c r="C42" s="8" t="s">
        <v>93</v>
      </c>
      <c r="D42" s="5">
        <v>1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5</v>
      </c>
      <c r="T42" s="3">
        <f>IF(AND(ISNUMBER(D39),ISNUMBER(D40),ISNUMBER(D41),ISNUMBER(D42),ISNUMBER(D43),ISNUMBER(D44)),IF(AF39=4,AD39,IF(AF40=4,AD40,IF(AF41=4,AD41,IF(AF42=4,AD42,"")))),"")</f>
        <v>-5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1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1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2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2</v>
      </c>
      <c r="AD42">
        <f>AB42-AC42</f>
        <v>0</v>
      </c>
      <c r="AE42">
        <f>3*Y42+Z42</f>
        <v>4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2</v>
      </c>
    </row>
    <row r="43" spans="1:32" ht="16.5" customHeight="1" x14ac:dyDescent="0.25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1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25">
      <c r="A44" s="7">
        <v>30</v>
      </c>
      <c r="B44" s="7" t="s">
        <v>87</v>
      </c>
      <c r="C44" s="8" t="s">
        <v>93</v>
      </c>
      <c r="D44" s="5">
        <v>0</v>
      </c>
      <c r="E44" s="7" t="s">
        <v>29</v>
      </c>
      <c r="F44" s="5">
        <v>1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25">
      <c r="A45" s="56" t="s">
        <v>100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101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25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0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5</v>
      </c>
      <c r="S47" s="3">
        <f>IF(AND(ISNUMBER(D47),ISNUMBER(D48),ISNUMBER(D49),ISNUMBER(D50),ISNUMBER(D51),ISNUMBER(D52)),IF(AF47=1,AC47,IF(AF48=1,AC48,IF(AF49=1,AC49,IF(AF50=1,AC50,"")))),"")</f>
        <v>0</v>
      </c>
      <c r="T47" s="3">
        <f>IF(AND(ISNUMBER(D47),ISNUMBER(D48),ISNUMBER(D49),ISNUMBER(D50),ISNUMBER(D51),ISNUMBER(D52)),IF(AF47=1,AD47,IF(AF48=1,AD48,IF(AF49=1,AD49,IF(AF50=1,AD50,"")))),"")</f>
        <v>5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5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0</v>
      </c>
      <c r="AD47">
        <f>AB47-AC47</f>
        <v>5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25">
      <c r="A48" s="7">
        <v>32</v>
      </c>
      <c r="B48" s="7" t="s">
        <v>102</v>
      </c>
      <c r="C48" s="8" t="s">
        <v>106</v>
      </c>
      <c r="D48" s="5">
        <v>0</v>
      </c>
      <c r="E48" s="7" t="s">
        <v>29</v>
      </c>
      <c r="F48" s="5">
        <v>0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Sverige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1</v>
      </c>
      <c r="S48" s="3">
        <f>IF(AND(ISNUMBER(D47),ISNUMBER(D48),ISNUMBER(D49),ISNUMBER(D50),ISNUMBER(D51),ISNUMBER(D52)),IF(AF47=2,AC47,IF(AF48=2,AC48,IF(AF49=2,AC49,IF(AF50=2,AC50,"")))),"")</f>
        <v>1</v>
      </c>
      <c r="T48" s="3">
        <f>IF(AND(ISNUMBER(D47),ISNUMBER(D48),ISNUMBER(D49),ISNUMBER(D50),ISNUMBER(D51),ISNUMBER(D52)),IF(AF47=2,AD47,IF(AF48=2,AD48,IF(AF49=2,AD49,IF(AF50=2,AD50,"")))),"")</f>
        <v>0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0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2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1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3</v>
      </c>
      <c r="AD48">
        <f>AB48-AC48</f>
        <v>-2</v>
      </c>
      <c r="AE48">
        <f>3*Y48+Z48</f>
        <v>3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3</v>
      </c>
    </row>
    <row r="49" spans="1:32" ht="16.5" customHeight="1" x14ac:dyDescent="0.25">
      <c r="A49" s="3">
        <v>33</v>
      </c>
      <c r="B49" s="3" t="s">
        <v>102</v>
      </c>
      <c r="C49" s="4" t="s">
        <v>103</v>
      </c>
      <c r="D49" s="5">
        <v>1</v>
      </c>
      <c r="E49" s="3" t="s">
        <v>29</v>
      </c>
      <c r="F49" s="5">
        <v>0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Japan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1</v>
      </c>
      <c r="P49" s="3">
        <f>IF(AND(ISNUMBER(D47),ISNUMBER(D48),ISNUMBER(D49),ISNUMBER(D50),ISNUMBER(D51),ISNUMBER(D52)),IF(AF47=3,Z47,IF(AF48=3,Z48,IF(AF49=3,Z49,IF(AF50=3,Z50,"")))),"")</f>
        <v>0</v>
      </c>
      <c r="Q49" s="3">
        <f>IF(AND(ISNUMBER(D47),ISNUMBER(D48),ISNUMBER(D49),ISNUMBER(D50),ISNUMBER(D51),ISNUMBER(D52)),IF(AF47=3,AA47,IF(AF48=3,AA48,IF(AF49=3,AA49,IF(AF50=3,AA50,"")))),"")</f>
        <v>2</v>
      </c>
      <c r="R49" s="3">
        <f>IF(AND(ISNUMBER(D47),ISNUMBER(D48),ISNUMBER(D49),ISNUMBER(D50),ISNUMBER(D51),ISNUMBER(D52)),IF(AF47=3,AB47,IF(AF48=3,AB48,IF(AF49=3,AB49,IF(AF50=3,AB50,"")))),"")</f>
        <v>1</v>
      </c>
      <c r="S49" s="3">
        <f>IF(AND(ISNUMBER(D47),ISNUMBER(D48),ISNUMBER(D49),ISNUMBER(D50),ISNUMBER(D51),ISNUMBER(D52)),IF(AF47=3,AC47,IF(AF48=3,AC48,IF(AF49=3,AC49,IF(AF50=3,AC50,"")))),"")</f>
        <v>3</v>
      </c>
      <c r="T49" s="3">
        <f>IF(AND(ISNUMBER(D47),ISNUMBER(D48),ISNUMBER(D49),ISNUMBER(D50),ISNUMBER(D51),ISNUMBER(D52)),IF(AF47=3,AD47,IF(AF48=3,AD48,IF(AF49=3,AD49,IF(AF50=3,AD50,"")))),"")</f>
        <v>-2</v>
      </c>
      <c r="U49" s="3">
        <f>IF(AND(ISNUMBER(D47),ISNUMBER(D48),ISNUMBER(D49),ISNUMBER(D50),ISNUMBER(D51),ISNUMBER(D52)),IF(AF47=3,AE47,IF(AF48=3,AE48,IF(AF49=3,AE49,IF(AF50=3,AE50,"")))),"")</f>
        <v>3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1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1</v>
      </c>
      <c r="AD49">
        <f>AB49-AC49</f>
        <v>0</v>
      </c>
      <c r="AE49">
        <f>3*Y49+Z49</f>
        <v>4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2</v>
      </c>
    </row>
    <row r="50" spans="1:32" ht="16.5" customHeight="1" x14ac:dyDescent="0.25">
      <c r="A50" s="7">
        <v>34</v>
      </c>
      <c r="B50" s="7" t="s">
        <v>102</v>
      </c>
      <c r="C50" s="8" t="s">
        <v>107</v>
      </c>
      <c r="D50" s="5">
        <v>0</v>
      </c>
      <c r="E50" s="7" t="s">
        <v>29</v>
      </c>
      <c r="F50" s="5">
        <v>1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Tunisia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0</v>
      </c>
      <c r="S50" s="3">
        <f>IF(AND(ISNUMBER(D47),ISNUMBER(D48),ISNUMBER(D49),ISNUMBER(D50),ISNUMBER(D51),ISNUMBER(D52)),IF(AF47=4,AC47,IF(AF48=4,AC48,IF(AF49=4,AC49,IF(AF50=4,AC50,"")))),"")</f>
        <v>3</v>
      </c>
      <c r="T50" s="3">
        <f>IF(AND(ISNUMBER(D47),ISNUMBER(D48),ISNUMBER(D49),ISNUMBER(D50),ISNUMBER(D51),ISNUMBER(D52)),IF(AF47=4,AD47,IF(AF48=4,AD48,IF(AF49=4,AD49,IF(AF50=4,AD50,"")))),"")</f>
        <v>-3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1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2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0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3</v>
      </c>
      <c r="AD50">
        <f>AB50-AC50</f>
        <v>-3</v>
      </c>
      <c r="AE50">
        <f>3*Y50+Z50</f>
        <v>1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4</v>
      </c>
    </row>
    <row r="51" spans="1:32" ht="16.5" customHeight="1" x14ac:dyDescent="0.25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25">
      <c r="A52" s="7">
        <v>36</v>
      </c>
      <c r="B52" s="7" t="s">
        <v>102</v>
      </c>
      <c r="C52" s="8" t="s">
        <v>104</v>
      </c>
      <c r="D52" s="5">
        <v>0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25">
      <c r="A53" s="56" t="s">
        <v>108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109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25">
      <c r="A55" s="3">
        <v>37</v>
      </c>
      <c r="B55" s="3" t="s">
        <v>110</v>
      </c>
      <c r="C55" s="4" t="s">
        <v>111</v>
      </c>
      <c r="D55" s="5">
        <v>1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2</v>
      </c>
      <c r="P55" s="3">
        <f>IF(AND(ISNUMBER(D55),ISNUMBER(D56),ISNUMBER(D57),ISNUMBER(D58),ISNUMBER(D59),ISNUMBER(D60)),IF(AF55=1,Z55,IF(AF56=1,Z56,IF(AF57=1,Z57,IF(AF58=1,Z58,"")))),"")</f>
        <v>1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3</v>
      </c>
      <c r="S55" s="3">
        <f>IF(AND(ISNUMBER(D55),ISNUMBER(D56),ISNUMBER(D57),ISNUMBER(D58),ISNUMBER(D59),ISNUMBER(D60)),IF(AF55=1,AC55,IF(AF56=1,AC56,IF(AF57=1,AC57,IF(AF58=1,AC58,"")))),"")</f>
        <v>1</v>
      </c>
      <c r="T55" s="3">
        <f>IF(AND(ISNUMBER(D55),ISNUMBER(D56),ISNUMBER(D57),ISNUMBER(D58),ISNUMBER(D59),ISNUMBER(D60)),IF(AF55=1,AD55,IF(AF56=1,AD56,IF(AF57=1,AD57,IF(AF58=1,AD58,"")))),"")</f>
        <v>2</v>
      </c>
      <c r="U55" s="3">
        <f>IF(AND(ISNUMBER(D55),ISNUMBER(D56),ISNUMBER(D57),ISNUMBER(D58),ISNUMBER(D59),ISNUMBER(D60)),IF(AF55=1,AE55,IF(AF56=1,AE56,IF(AF57=1,AE57,IF(AF58=1,AE58,"")))),"")</f>
        <v>7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2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1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3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1</v>
      </c>
      <c r="AD55">
        <f>AB55-AC55</f>
        <v>2</v>
      </c>
      <c r="AE55">
        <f>3*Y55+Z55</f>
        <v>7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25">
      <c r="A56" s="7">
        <v>38</v>
      </c>
      <c r="B56" s="7" t="s">
        <v>110</v>
      </c>
      <c r="C56" s="8" t="s">
        <v>113</v>
      </c>
      <c r="D56" s="5">
        <v>1</v>
      </c>
      <c r="E56" s="7" t="s">
        <v>29</v>
      </c>
      <c r="F56" s="5">
        <v>0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2</v>
      </c>
      <c r="Q56" s="3">
        <f>IF(AND(ISNUMBER(D55),ISNUMBER(D56),ISNUMBER(D57),ISNUMBER(D58),ISNUMBER(D59),ISNUMBER(D60)),IF(AF55=2,AA55,IF(AF56=2,AA56,IF(AF57=2,AA57,IF(AF58=2,AA58,"")))),"")</f>
        <v>0</v>
      </c>
      <c r="R56" s="3">
        <f>IF(AND(ISNUMBER(D55),ISNUMBER(D56),ISNUMBER(D57),ISNUMBER(D58),ISNUMBER(D59),ISNUMBER(D60)),IF(AF55=2,AB55,IF(AF56=2,AB56,IF(AF57=2,AB57,IF(AF58=2,AB58,"")))),"")</f>
        <v>2</v>
      </c>
      <c r="S56" s="3">
        <f>IF(AND(ISNUMBER(D55),ISNUMBER(D56),ISNUMBER(D57),ISNUMBER(D58),ISNUMBER(D59),ISNUMBER(D60)),IF(AF55=2,AC55,IF(AF56=2,AC56,IF(AF57=2,AC57,IF(AF58=2,AC58,"")))),"")</f>
        <v>1</v>
      </c>
      <c r="T56" s="3">
        <f>IF(AND(ISNUMBER(D55),ISNUMBER(D56),ISNUMBER(D57),ISNUMBER(D58),ISNUMBER(D59),ISNUMBER(D60)),IF(AF55=2,AD55,IF(AF56=2,AD56,IF(AF57=2,AD57,IF(AF58=2,AD58,"")))),"")</f>
        <v>1</v>
      </c>
      <c r="U56" s="3">
        <f>IF(AND(ISNUMBER(D55),ISNUMBER(D56),ISNUMBER(D57),ISNUMBER(D58),ISNUMBER(D59),ISNUMBER(D60)),IF(AF55=2,AE55,IF(AF56=2,AE56,IF(AF57=2,AE57,IF(AF58=2,AE58,"")))),"")</f>
        <v>5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2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0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2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1</v>
      </c>
      <c r="AD56">
        <f>AB56-AC56</f>
        <v>1</v>
      </c>
      <c r="AE56">
        <f>3*Y56+Z56</f>
        <v>5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 x14ac:dyDescent="0.25">
      <c r="A57" s="3">
        <v>39</v>
      </c>
      <c r="B57" s="3" t="s">
        <v>110</v>
      </c>
      <c r="C57" s="4" t="s">
        <v>111</v>
      </c>
      <c r="D57" s="5">
        <v>1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Iran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0</v>
      </c>
      <c r="Q57" s="3">
        <f>IF(AND(ISNUMBER(D55),ISNUMBER(D56),ISNUMBER(D57),ISNUMBER(D58),ISNUMBER(D59),ISNUMBER(D60)),IF(AF55=3,AA55,IF(AF56=3,AA56,IF(AF57=3,AA57,IF(AF58=3,AA58,"")))),"")</f>
        <v>2</v>
      </c>
      <c r="R57" s="3">
        <f>IF(AND(ISNUMBER(D55),ISNUMBER(D56),ISNUMBER(D57),ISNUMBER(D58),ISNUMBER(D59),ISNUMBER(D60)),IF(AF55=3,AB55,IF(AF56=3,AB56,IF(AF57=3,AB57,IF(AF58=3,AB58,"")))),"")</f>
        <v>1</v>
      </c>
      <c r="S57" s="3">
        <f>IF(AND(ISNUMBER(D55),ISNUMBER(D56),ISNUMBER(D57),ISNUMBER(D58),ISNUMBER(D59),ISNUMBER(D60)),IF(AF55=3,AC55,IF(AF56=3,AC56,IF(AF57=3,AC57,IF(AF58=3,AC58,"")))),"")</f>
        <v>2</v>
      </c>
      <c r="T57" s="3">
        <f>IF(AND(ISNUMBER(D55),ISNUMBER(D56),ISNUMBER(D57),ISNUMBER(D58),ISNUMBER(D59),ISNUMBER(D60)),IF(AF55=3,AD55,IF(AF56=3,AD56,IF(AF57=3,AD57,IF(AF58=3,AD58,"")))),"")</f>
        <v>-1</v>
      </c>
      <c r="U57" s="3">
        <f>IF(AND(ISNUMBER(D55),ISNUMBER(D56),ISNUMBER(D57),ISNUMBER(D58),ISNUMBER(D59),ISNUMBER(D60)),IF(AF55=3,AE55,IF(AF56=3,AE56,IF(AF57=3,AE57,IF(AF58=3,AE58,"")))),"")</f>
        <v>3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1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0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2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1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2</v>
      </c>
      <c r="AD57">
        <f>AB57-AC57</f>
        <v>-1</v>
      </c>
      <c r="AE57">
        <f>3*Y57+Z57</f>
        <v>3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3</v>
      </c>
    </row>
    <row r="58" spans="1:32" ht="16.5" customHeight="1" x14ac:dyDescent="0.25">
      <c r="A58" s="7">
        <v>40</v>
      </c>
      <c r="B58" s="7" t="s">
        <v>110</v>
      </c>
      <c r="C58" s="8" t="s">
        <v>114</v>
      </c>
      <c r="D58" s="5">
        <v>0</v>
      </c>
      <c r="E58" s="7" t="s">
        <v>29</v>
      </c>
      <c r="F58" s="5">
        <v>0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1</v>
      </c>
      <c r="Q58" s="3">
        <f>IF(AND(ISNUMBER(D55),ISNUMBER(D56),ISNUMBER(D57),ISNUMBER(D58),ISNUMBER(D59),ISNUMBER(D60)),IF(AF55=4,AA55,IF(AF56=4,AA56,IF(AF57=4,AA57,IF(AF58=4,AA58,"")))),"")</f>
        <v>2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2</v>
      </c>
      <c r="T58" s="3">
        <f>IF(AND(ISNUMBER(D55),ISNUMBER(D56),ISNUMBER(D57),ISNUMBER(D58),ISNUMBER(D59),ISNUMBER(D60)),IF(AF55=4,AD55,IF(AF56=4,AD56,IF(AF57=4,AD57,IF(AF58=4,AD58,"")))),"")</f>
        <v>-2</v>
      </c>
      <c r="U58" s="3">
        <f>IF(AND(ISNUMBER(D55),ISNUMBER(D56),ISNUMBER(D57),ISNUMBER(D58),ISNUMBER(D59),ISNUMBER(D60)),IF(AF55=4,AE55,IF(AF56=4,AE56,IF(AF57=4,AE57,IF(AF58=4,AE58,"")))),"")</f>
        <v>1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1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2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0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2</v>
      </c>
      <c r="AD58">
        <f>AB58-AC58</f>
        <v>-2</v>
      </c>
      <c r="AE58">
        <f>3*Y58+Z58</f>
        <v>1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 x14ac:dyDescent="0.25">
      <c r="A59" s="3">
        <v>41</v>
      </c>
      <c r="B59" s="3" t="s">
        <v>110</v>
      </c>
      <c r="C59" s="4" t="s">
        <v>112</v>
      </c>
      <c r="D59" s="5">
        <v>1</v>
      </c>
      <c r="E59" s="3" t="s">
        <v>29</v>
      </c>
      <c r="F59" s="5">
        <v>0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25">
      <c r="A60" s="7">
        <v>42</v>
      </c>
      <c r="B60" s="7" t="s">
        <v>110</v>
      </c>
      <c r="C60" s="8" t="s">
        <v>114</v>
      </c>
      <c r="D60" s="5">
        <v>0</v>
      </c>
      <c r="E60" s="7" t="s">
        <v>29</v>
      </c>
      <c r="F60" s="5">
        <v>1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25">
      <c r="A61" s="56" t="s">
        <v>119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120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25">
      <c r="A63" s="3">
        <v>43</v>
      </c>
      <c r="B63" s="3" t="s">
        <v>121</v>
      </c>
      <c r="C63" s="4" t="s">
        <v>122</v>
      </c>
      <c r="D63" s="5">
        <v>4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8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7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8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7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25">
      <c r="A64" s="7">
        <v>44</v>
      </c>
      <c r="B64" s="7" t="s">
        <v>121</v>
      </c>
      <c r="C64" s="8" t="s">
        <v>124</v>
      </c>
      <c r="D64" s="5">
        <v>0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5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3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7</v>
      </c>
      <c r="AD64">
        <f>AB64-AC64</f>
        <v>-6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25">
      <c r="A65" s="3">
        <v>45</v>
      </c>
      <c r="B65" s="3" t="s">
        <v>121</v>
      </c>
      <c r="C65" s="4" t="s">
        <v>122</v>
      </c>
      <c r="D65" s="5">
        <v>2</v>
      </c>
      <c r="E65" s="3" t="s">
        <v>29</v>
      </c>
      <c r="F65" s="5">
        <v>0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1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-4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1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-4</v>
      </c>
      <c r="AE65">
        <f>3*Y65+Z65</f>
        <v>1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25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7</v>
      </c>
      <c r="T66" s="3">
        <f>IF(AND(ISNUMBER(D63),ISNUMBER(D64),ISNUMBER(D65),ISNUMBER(D66),ISNUMBER(D67),ISNUMBER(D68)),IF(AF63=4,AD63,IF(AF64=4,AD64,IF(AF65=4,AD65,IF(AF66=4,AD66,"")))),"")</f>
        <v>-6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5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3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25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1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25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2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25">
      <c r="A69" s="61" t="s">
        <v>126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127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25">
      <c r="A71" s="3">
        <v>49</v>
      </c>
      <c r="B71" s="3" t="s">
        <v>128</v>
      </c>
      <c r="C71" s="4" t="s">
        <v>129</v>
      </c>
      <c r="D71" s="5">
        <v>1</v>
      </c>
      <c r="E71" s="3" t="s">
        <v>29</v>
      </c>
      <c r="F71" s="5">
        <v>1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4</v>
      </c>
      <c r="S71" s="3">
        <f>IF(AND(ISNUMBER(D71),ISNUMBER(D72),ISNUMBER(D73),ISNUMBER(D74),ISNUMBER(D75),ISNUMBER(D76)),IF(AF71=1,AC71,IF(AF72=1,AC72,IF(AF73=1,AC73,IF(AF74=1,AC74,"")))),"")</f>
        <v>1</v>
      </c>
      <c r="T71" s="3">
        <f>IF(AND(ISNUMBER(D71),ISNUMBER(D72),ISNUMBER(D73),ISNUMBER(D74),ISNUMBER(D75),ISNUMBER(D76)),IF(AF71=1,AD71,IF(AF72=1,AD72,IF(AF73=1,AD73,IF(AF74=1,AD74,"")))),"")</f>
        <v>3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4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1</v>
      </c>
      <c r="AD71">
        <f>AB71-AC71</f>
        <v>3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25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2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2</v>
      </c>
      <c r="P72" s="3">
        <f>IF(AND(ISNUMBER(D71),ISNUMBER(D72),ISNUMBER(D73),ISNUMBER(D74),ISNUMBER(D75),ISNUMBER(D76)),IF(AF71=2,Z71,IF(AF72=2,Z72,IF(AF73=2,Z73,IF(AF74=2,Z74,"")))),"")</f>
        <v>0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4</v>
      </c>
      <c r="S72" s="3">
        <f>IF(AND(ISNUMBER(D71),ISNUMBER(D72),ISNUMBER(D73),ISNUMBER(D74),ISNUMBER(D75),ISNUMBER(D76)),IF(AF71=2,AC71,IF(AF72=2,AC72,IF(AF73=2,AC73,IF(AF74=2,AC74,"")))),"")</f>
        <v>2</v>
      </c>
      <c r="T72" s="3">
        <f>IF(AND(ISNUMBER(D71),ISNUMBER(D72),ISNUMBER(D73),ISNUMBER(D74),ISNUMBER(D75),ISNUMBER(D76)),IF(AF71=2,AD71,IF(AF72=2,AD72,IF(AF73=2,AD73,IF(AF74=2,AD74,"")))),"")</f>
        <v>2</v>
      </c>
      <c r="U72" s="3">
        <f>IF(AND(ISNUMBER(D71),ISNUMBER(D72),ISNUMBER(D73),ISNUMBER(D74),ISNUMBER(D75),ISNUMBER(D76)),IF(AF71=2,AE71,IF(AF72=2,AE72,IF(AF73=2,AE73,IF(AF74=2,AE74,"")))),"")</f>
        <v>6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3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3</v>
      </c>
      <c r="AD72">
        <f>AB72-AC72</f>
        <v>0</v>
      </c>
      <c r="AE72">
        <f>3*Y72+Z72</f>
        <v>4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3</v>
      </c>
    </row>
    <row r="73" spans="1:32" ht="16.5" customHeight="1" x14ac:dyDescent="0.25">
      <c r="A73" s="3">
        <v>51</v>
      </c>
      <c r="B73" s="3" t="s">
        <v>128</v>
      </c>
      <c r="C73" s="4" t="s">
        <v>129</v>
      </c>
      <c r="D73" s="5">
        <v>2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3</v>
      </c>
      <c r="S73" s="3">
        <f>IF(AND(ISNUMBER(D71),ISNUMBER(D72),ISNUMBER(D73),ISNUMBER(D74),ISNUMBER(D75),ISNUMBER(D76)),IF(AF71=3,AC71,IF(AF72=3,AC72,IF(AF73=3,AC73,IF(AF74=3,AC74,"")))),"")</f>
        <v>3</v>
      </c>
      <c r="T73" s="3">
        <f>IF(AND(ISNUMBER(D71),ISNUMBER(D72),ISNUMBER(D73),ISNUMBER(D74),ISNUMBER(D75),ISNUMBER(D76)),IF(AF71=3,AD71,IF(AF72=3,AD72,IF(AF73=3,AD73,IF(AF74=3,AD74,"")))),"")</f>
        <v>0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0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5</v>
      </c>
      <c r="AD73">
        <f>AB73-AC73</f>
        <v>-5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25">
      <c r="A74" s="10">
        <v>52</v>
      </c>
      <c r="B74" s="10" t="s">
        <v>128</v>
      </c>
      <c r="C74" s="11" t="s">
        <v>132</v>
      </c>
      <c r="D74" s="5">
        <v>2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0</v>
      </c>
      <c r="S74" s="3">
        <f>IF(AND(ISNUMBER(D71),ISNUMBER(D72),ISNUMBER(D73),ISNUMBER(D74),ISNUMBER(D75),ISNUMBER(D76)),IF(AF71=4,AC71,IF(AF72=4,AC72,IF(AF73=4,AC73,IF(AF74=4,AC74,"")))),"")</f>
        <v>5</v>
      </c>
      <c r="T74" s="3">
        <f>IF(AND(ISNUMBER(D71),ISNUMBER(D72),ISNUMBER(D73),ISNUMBER(D74),ISNUMBER(D75),ISNUMBER(D76)),IF(AF71=4,AD71,IF(AF72=4,AD72,IF(AF73=4,AD73,IF(AF74=4,AD74,"")))),"")</f>
        <v>-5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2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0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4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2</v>
      </c>
      <c r="AD74">
        <f>AB74-AC74</f>
        <v>2</v>
      </c>
      <c r="AE74">
        <f>3*Y74+Z74</f>
        <v>6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2</v>
      </c>
    </row>
    <row r="75" spans="1:32" ht="16.5" customHeight="1" x14ac:dyDescent="0.25">
      <c r="A75" s="10">
        <v>53</v>
      </c>
      <c r="B75" s="10" t="s">
        <v>128</v>
      </c>
      <c r="C75" s="11" t="s">
        <v>132</v>
      </c>
      <c r="D75" s="5">
        <v>0</v>
      </c>
      <c r="E75" s="10" t="s">
        <v>29</v>
      </c>
      <c r="F75" s="5">
        <v>1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25">
      <c r="A76" s="7">
        <v>54</v>
      </c>
      <c r="B76" s="7" t="s">
        <v>128</v>
      </c>
      <c r="C76" s="8" t="s">
        <v>130</v>
      </c>
      <c r="D76" s="5">
        <v>1</v>
      </c>
      <c r="E76" s="7" t="s">
        <v>29</v>
      </c>
      <c r="F76" s="5">
        <v>0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25">
      <c r="A77" s="56" t="s">
        <v>136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137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25">
      <c r="A79" s="3">
        <v>55</v>
      </c>
      <c r="B79" s="3" t="s">
        <v>138</v>
      </c>
      <c r="C79" s="4" t="s">
        <v>139</v>
      </c>
      <c r="D79" s="5">
        <v>2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7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6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7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6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25">
      <c r="A80" s="7">
        <v>56</v>
      </c>
      <c r="B80" s="7" t="s">
        <v>138</v>
      </c>
      <c r="C80" s="8" t="s">
        <v>141</v>
      </c>
      <c r="D80" s="5">
        <v>1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2</v>
      </c>
      <c r="P80" s="3">
        <f>IF(AND(ISNUMBER(D79),ISNUMBER(D80),ISNUMBER(D81),ISNUMBER(D82),ISNUMBER(D83),ISNUMBER(D84)),IF(AF79=2,Z79,IF(AF80=2,Z80,IF(AF81=2,Z81,IF(AF82=2,Z82,"")))),"")</f>
        <v>0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4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1</v>
      </c>
      <c r="U80" s="3">
        <f>IF(AND(ISNUMBER(D79),ISNUMBER(D80),ISNUMBER(D81),ISNUMBER(D82),ISNUMBER(D83),ISNUMBER(D84)),IF(AF79=2,AE79,IF(AF80=2,AE80,IF(AF81=2,AE81,IF(AF82=2,AE82,"")))),"")</f>
        <v>6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0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2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2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4</v>
      </c>
      <c r="AD80">
        <f>AB80-AC80</f>
        <v>-2</v>
      </c>
      <c r="AE80">
        <f>3*Y80+Z80</f>
        <v>3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25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1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0</v>
      </c>
      <c r="Q81" s="3">
        <f>IF(AND(ISNUMBER(D79),ISNUMBER(D80),ISNUMBER(D81),ISNUMBER(D82),ISNUMBER(D83),ISNUMBER(D84)),IF(AF79=3,AA79,IF(AF80=3,AA80,IF(AF81=3,AA81,IF(AF82=3,AA82,"")))),"")</f>
        <v>2</v>
      </c>
      <c r="R81" s="3">
        <f>IF(AND(ISNUMBER(D79),ISNUMBER(D80),ISNUMBER(D81),ISNUMBER(D82),ISNUMBER(D83),ISNUMBER(D84)),IF(AF79=3,AB79,IF(AF80=3,AB80,IF(AF81=3,AB81,IF(AF82=3,AB82,"")))),"")</f>
        <v>2</v>
      </c>
      <c r="S81" s="3">
        <f>IF(AND(ISNUMBER(D79),ISNUMBER(D80),ISNUMBER(D81),ISNUMBER(D82),ISNUMBER(D83),ISNUMBER(D84)),IF(AF79=3,AC79,IF(AF80=3,AC80,IF(AF81=3,AC81,IF(AF82=3,AC82,"")))),"")</f>
        <v>4</v>
      </c>
      <c r="T81" s="3">
        <f>IF(AND(ISNUMBER(D79),ISNUMBER(D80),ISNUMBER(D81),ISNUMBER(D82),ISNUMBER(D83),ISNUMBER(D84)),IF(AF79=3,AD79,IF(AF80=3,AD80,IF(AF81=3,AD81,IF(AF82=3,AD82,"")))),"")</f>
        <v>-2</v>
      </c>
      <c r="U81" s="3">
        <f>IF(AND(ISNUMBER(D79),ISNUMBER(D80),ISNUMBER(D81),ISNUMBER(D82),ISNUMBER(D83),ISNUMBER(D84)),IF(AF79=3,AE79,IF(AF80=3,AE80,IF(AF81=3,AE81,IF(AF82=3,AE82,"")))),"")</f>
        <v>3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2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0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4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1</v>
      </c>
      <c r="AE81">
        <f>3*Y81+Z81</f>
        <v>6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25">
      <c r="A82" s="7">
        <v>58</v>
      </c>
      <c r="B82" s="7" t="s">
        <v>138</v>
      </c>
      <c r="C82" s="8" t="s">
        <v>142</v>
      </c>
      <c r="D82" s="5">
        <v>0</v>
      </c>
      <c r="E82" s="7" t="s">
        <v>29</v>
      </c>
      <c r="F82" s="5">
        <v>1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0</v>
      </c>
      <c r="S82" s="3">
        <f>IF(AND(ISNUMBER(D79),ISNUMBER(D80),ISNUMBER(D81),ISNUMBER(D82),ISNUMBER(D83),ISNUMBER(D84)),IF(AF79=4,AC79,IF(AF80=4,AC80,IF(AF81=4,AC81,IF(AF82=4,AC82,"")))),"")</f>
        <v>5</v>
      </c>
      <c r="T82" s="3">
        <f>IF(AND(ISNUMBER(D79),ISNUMBER(D80),ISNUMBER(D81),ISNUMBER(D82),ISNUMBER(D83),ISNUMBER(D84)),IF(AF79=4,AD79,IF(AF80=4,AD80,IF(AF81=4,AD81,IF(AF82=4,AD82,"")))),"")</f>
        <v>-5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0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5</v>
      </c>
      <c r="AD82">
        <f>AB82-AC82</f>
        <v>-5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25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3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25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2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25">
      <c r="A85" s="56" t="s">
        <v>143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144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25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6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5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6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5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25">
      <c r="A88" s="7">
        <v>62</v>
      </c>
      <c r="B88" s="7" t="s">
        <v>145</v>
      </c>
      <c r="C88" s="8" t="s">
        <v>148</v>
      </c>
      <c r="D88" s="5">
        <v>1</v>
      </c>
      <c r="E88" s="7" t="s">
        <v>29</v>
      </c>
      <c r="F88" s="5">
        <v>1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1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3</v>
      </c>
      <c r="S88" s="3">
        <f>IF(AND(ISNUMBER(D87),ISNUMBER(D88),ISNUMBER(D89),ISNUMBER(D90),ISNUMBER(D91),ISNUMBER(D92)),IF(AF87=2,AC87,IF(AF88=2,AC88,IF(AF89=2,AC89,IF(AF90=2,AC90,"")))),"")</f>
        <v>3</v>
      </c>
      <c r="T88" s="3">
        <f>IF(AND(ISNUMBER(D87),ISNUMBER(D88),ISNUMBER(D89),ISNUMBER(D90),ISNUMBER(D91),ISNUMBER(D92)),IF(AF87=2,AD87,IF(AF88=2,AD88,IF(AF89=2,AD89,IF(AF90=2,AD90,"")))),"")</f>
        <v>0</v>
      </c>
      <c r="U88" s="3">
        <f>IF(AND(ISNUMBER(D87),ISNUMBER(D88),ISNUMBER(D89),ISNUMBER(D90),ISNUMBER(D91),ISNUMBER(D92)),IF(AF87=2,AE87,IF(AF88=2,AE88,IF(AF89=2,AE89,IF(AF90=2,AE90,"")))),"")</f>
        <v>4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1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0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3</v>
      </c>
      <c r="AD88">
        <f>AB88-AC88</f>
        <v>-2</v>
      </c>
      <c r="AE88">
        <f>3*Y88+Z88</f>
        <v>3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3</v>
      </c>
    </row>
    <row r="89" spans="1:32" ht="16.5" customHeight="1" x14ac:dyDescent="0.25">
      <c r="A89" s="3">
        <v>63</v>
      </c>
      <c r="B89" s="3" t="s">
        <v>145</v>
      </c>
      <c r="C89" s="4" t="s">
        <v>146</v>
      </c>
      <c r="D89" s="5">
        <v>2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DR Kongo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1</v>
      </c>
      <c r="P89" s="3">
        <f>IF(AND(ISNUMBER(D87),ISNUMBER(D88),ISNUMBER(D89),ISNUMBER(D90),ISNUMBER(D91),ISNUMBER(D92)),IF(AF87=3,Z87,IF(AF88=3,Z88,IF(AF89=3,Z89,IF(AF90=3,Z90,"")))),"")</f>
        <v>0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1</v>
      </c>
      <c r="S89" s="3">
        <f>IF(AND(ISNUMBER(D87),ISNUMBER(D88),ISNUMBER(D89),ISNUMBER(D90),ISNUMBER(D91),ISNUMBER(D92)),IF(AF87=3,AC87,IF(AF88=3,AC88,IF(AF89=3,AC89,IF(AF90=3,AC90,"")))),"")</f>
        <v>3</v>
      </c>
      <c r="T89" s="3">
        <f>IF(AND(ISNUMBER(D87),ISNUMBER(D88),ISNUMBER(D89),ISNUMBER(D90),ISNUMBER(D91),ISNUMBER(D92)),IF(AF87=3,AD87,IF(AF88=3,AD88,IF(AF89=3,AD89,IF(AF90=3,AD90,"")))),"")</f>
        <v>-2</v>
      </c>
      <c r="U89" s="3">
        <f>IF(AND(ISNUMBER(D87),ISNUMBER(D88),ISNUMBER(D89),ISNUMBER(D90),ISNUMBER(D91),ISNUMBER(D92)),IF(AF87=3,AE87,IF(AF88=3,AE88,IF(AF89=3,AE89,IF(AF90=3,AE90,"")))),"")</f>
        <v>3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1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4</v>
      </c>
      <c r="AD89">
        <f>AB89-AC89</f>
        <v>-3</v>
      </c>
      <c r="AE89">
        <f>3*Y89+Z89</f>
        <v>1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4</v>
      </c>
    </row>
    <row r="90" spans="1:32" ht="16.5" customHeight="1" x14ac:dyDescent="0.25">
      <c r="A90" s="7">
        <v>64</v>
      </c>
      <c r="B90" s="7" t="s">
        <v>145</v>
      </c>
      <c r="C90" s="8" t="s">
        <v>149</v>
      </c>
      <c r="D90" s="5">
        <v>1</v>
      </c>
      <c r="E90" s="7" t="s">
        <v>29</v>
      </c>
      <c r="F90" s="5">
        <v>0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4</v>
      </c>
      <c r="T90" s="3">
        <f>IF(AND(ISNUMBER(D87),ISNUMBER(D88),ISNUMBER(D89),ISNUMBER(D90),ISNUMBER(D91),ISNUMBER(D92)),IF(AF87=4,AD87,IF(AF88=4,AD88,IF(AF89=4,AD89,IF(AF90=4,AD90,"")))),"")</f>
        <v>-3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1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3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3</v>
      </c>
      <c r="AD90">
        <f>AB90-AC90</f>
        <v>0</v>
      </c>
      <c r="AE90">
        <f>3*Y90+Z90</f>
        <v>4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25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2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25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0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25">
      <c r="A93" s="56" t="s">
        <v>151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152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25">
      <c r="A95" s="3">
        <v>67</v>
      </c>
      <c r="B95" s="3" t="s">
        <v>153</v>
      </c>
      <c r="C95" s="4" t="s">
        <v>154</v>
      </c>
      <c r="D95" s="5">
        <v>2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5</v>
      </c>
      <c r="S95" s="3">
        <f>IF(AND(ISNUMBER(D95),ISNUMBER(D96),ISNUMBER(D97),ISNUMBER(D98),ISNUMBER(D99),ISNUMBER(D100)),IF(AF95=1,AC95,IF(AF96=1,AC96,IF(AF97=1,AC97,IF(AF98=1,AC98,"")))),"")</f>
        <v>2</v>
      </c>
      <c r="T95" s="3">
        <f>IF(AND(ISNUMBER(D95),ISNUMBER(D96),ISNUMBER(D97),ISNUMBER(D98),ISNUMBER(D99),ISNUMBER(D100)),IF(AF95=1,AD95,IF(AF96=1,AD96,IF(AF97=1,AD97,IF(AF98=1,AD98,"")))),"")</f>
        <v>3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5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2</v>
      </c>
      <c r="AD95">
        <f>AB95-AC95</f>
        <v>3</v>
      </c>
      <c r="AE95">
        <f>3*Y95+Z95</f>
        <v>7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25">
      <c r="A96" s="7">
        <v>68</v>
      </c>
      <c r="B96" s="7" t="s">
        <v>153</v>
      </c>
      <c r="C96" s="8" t="s">
        <v>156</v>
      </c>
      <c r="D96" s="5">
        <v>1</v>
      </c>
      <c r="E96" s="7" t="s">
        <v>29</v>
      </c>
      <c r="F96" s="5">
        <v>0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2</v>
      </c>
      <c r="P96" s="3">
        <f>IF(AND(ISNUMBER(D95),ISNUMBER(D96),ISNUMBER(D97),ISNUMBER(D98),ISNUMBER(D99),ISNUMBER(D100)),IF(AF95=2,Z95,IF(AF96=2,Z96,IF(AF97=2,Z97,IF(AF98=2,Z98,"")))),"")</f>
        <v>0</v>
      </c>
      <c r="Q96" s="3">
        <f>IF(AND(ISNUMBER(D95),ISNUMBER(D96),ISNUMBER(D97),ISNUMBER(D98),ISNUMBER(D99),ISNUMBER(D100)),IF(AF95=2,AA95,IF(AF96=2,AA96,IF(AF97=2,AA97,IF(AF98=2,AA98,"")))),"")</f>
        <v>1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2</v>
      </c>
      <c r="T96" s="3">
        <f>IF(AND(ISNUMBER(D95),ISNUMBER(D96),ISNUMBER(D97),ISNUMBER(D98),ISNUMBER(D99),ISNUMBER(D100)),IF(AF95=2,AD95,IF(AF96=2,AD96,IF(AF97=2,AD97,IF(AF98=2,AD98,"")))),"")</f>
        <v>2</v>
      </c>
      <c r="U96" s="3">
        <f>IF(AND(ISNUMBER(D95),ISNUMBER(D96),ISNUMBER(D97),ISNUMBER(D98),ISNUMBER(D99),ISNUMBER(D100)),IF(AF95=2,AE95,IF(AF96=2,AE96,IF(AF97=2,AE97,IF(AF98=2,AE98,"")))),"")</f>
        <v>6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0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1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2</v>
      </c>
      <c r="AD96">
        <f>AB96-AC96</f>
        <v>2</v>
      </c>
      <c r="AE96">
        <f>3*Y96+Z96</f>
        <v>6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25">
      <c r="A97" s="3">
        <v>69</v>
      </c>
      <c r="B97" s="3" t="s">
        <v>153</v>
      </c>
      <c r="C97" s="4" t="s">
        <v>154</v>
      </c>
      <c r="D97" s="5">
        <v>1</v>
      </c>
      <c r="E97" s="3" t="s">
        <v>29</v>
      </c>
      <c r="F97" s="5">
        <v>1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1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2</v>
      </c>
      <c r="S97" s="3">
        <f>IF(AND(ISNUMBER(D95),ISNUMBER(D96),ISNUMBER(D97),ISNUMBER(D98),ISNUMBER(D99),ISNUMBER(D100)),IF(AF95=3,AC95,IF(AF96=3,AC96,IF(AF97=3,AC97,IF(AF98=3,AC98,"")))),"")</f>
        <v>2</v>
      </c>
      <c r="T97" s="3">
        <f>IF(AND(ISNUMBER(D95),ISNUMBER(D96),ISNUMBER(D97),ISNUMBER(D98),ISNUMBER(D99),ISNUMBER(D100)),IF(AF95=3,AD95,IF(AF96=3,AD96,IF(AF97=3,AD97,IF(AF98=3,AD98,"")))),"")</f>
        <v>0</v>
      </c>
      <c r="U97" s="3">
        <f>IF(AND(ISNUMBER(D95),ISNUMBER(D96),ISNUMBER(D97),ISNUMBER(D98),ISNUMBER(D99),ISNUMBER(D100)),IF(AF95=3,AE95,IF(AF96=3,AE96,IF(AF97=3,AE97,IF(AF98=3,AE98,"")))),"")</f>
        <v>4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1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2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2</v>
      </c>
      <c r="AD97">
        <f>AB97-AC97</f>
        <v>0</v>
      </c>
      <c r="AE97">
        <f>3*Y97+Z97</f>
        <v>4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25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2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0</v>
      </c>
      <c r="S98" s="3">
        <f>IF(AND(ISNUMBER(D95),ISNUMBER(D96),ISNUMBER(D97),ISNUMBER(D98),ISNUMBER(D99),ISNUMBER(D100)),IF(AF95=4,AC95,IF(AF96=4,AC96,IF(AF97=4,AC97,IF(AF98=4,AC98,"")))),"")</f>
        <v>5</v>
      </c>
      <c r="T98" s="3">
        <f>IF(AND(ISNUMBER(D95),ISNUMBER(D96),ISNUMBER(D97),ISNUMBER(D98),ISNUMBER(D99),ISNUMBER(D100)),IF(AF95=4,AD95,IF(AF96=4,AD96,IF(AF97=4,AD97,IF(AF98=4,AD98,"")))),"")</f>
        <v>-5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0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5</v>
      </c>
      <c r="AD98">
        <f>AB98-AC98</f>
        <v>-5</v>
      </c>
      <c r="AE98">
        <f>3*Y98+Z98</f>
        <v>0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25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2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25">
      <c r="A100" s="7">
        <v>72</v>
      </c>
      <c r="B100" s="7" t="s">
        <v>153</v>
      </c>
      <c r="C100" s="8" t="s">
        <v>155</v>
      </c>
      <c r="D100" s="5">
        <v>1</v>
      </c>
      <c r="E100" s="7" t="s">
        <v>29</v>
      </c>
      <c r="F100" s="5">
        <v>0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25">
      <c r="A101" s="12"/>
      <c r="B101" s="12"/>
      <c r="C101" s="12"/>
      <c r="D101" s="12"/>
      <c r="E101" s="12"/>
      <c r="F101" s="12"/>
      <c r="G101" s="12"/>
      <c r="H101" s="58" t="s">
        <v>158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25">
      <c r="A103" s="12"/>
      <c r="B103" s="12"/>
      <c r="C103" s="12"/>
      <c r="D103" s="12"/>
      <c r="E103" s="12"/>
      <c r="F103" s="12"/>
      <c r="G103" s="12"/>
      <c r="H103" s="14"/>
      <c r="I103" s="59" t="s">
        <v>160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25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25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25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Sør-Korea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25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2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25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25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f>IF(H109=1,COUNTIF($H$105:H109,1),"")</f>
        <v>3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25">
      <c r="A110" s="12"/>
      <c r="B110" s="12"/>
      <c r="C110" s="12"/>
      <c r="D110" s="12"/>
      <c r="E110" s="12"/>
      <c r="F110" s="12"/>
      <c r="G110" s="12"/>
      <c r="H110" s="21">
        <v>1</v>
      </c>
      <c r="I110" s="22" t="str">
        <f>IFERROR(M24,"C2")</f>
        <v>Marokko</v>
      </c>
      <c r="J110" s="12">
        <f>IF(H110=1,COUNTIF($H$105:H110,1),"")</f>
        <v>4</v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25">
      <c r="A111" s="12"/>
      <c r="B111" s="12"/>
      <c r="C111" s="12"/>
      <c r="D111" s="12"/>
      <c r="E111" s="12"/>
      <c r="F111" s="12"/>
      <c r="G111" s="12"/>
      <c r="H111" s="18"/>
      <c r="I111" s="19" t="str">
        <f>IFERROR(M31,"D1")</f>
        <v>Tyrkia</v>
      </c>
      <c r="J111" s="12" t="str">
        <f>IF(H111=1,COUNTIF($H$105:H111,1),"")</f>
        <v/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25">
      <c r="A112" s="12"/>
      <c r="B112" s="12"/>
      <c r="C112" s="12"/>
      <c r="D112" s="12"/>
      <c r="E112" s="12"/>
      <c r="F112" s="12"/>
      <c r="G112" s="12"/>
      <c r="H112" s="21"/>
      <c r="I112" s="22" t="str">
        <f>IFERROR(M32,"D2")</f>
        <v>USA</v>
      </c>
      <c r="J112" s="12" t="str">
        <f>IF(H112=1,COUNTIF($H$105:H112,1),"")</f>
        <v/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25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5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25">
      <c r="A114" s="12"/>
      <c r="B114" s="12"/>
      <c r="C114" s="12"/>
      <c r="D114" s="12"/>
      <c r="E114" s="12"/>
      <c r="F114" s="12"/>
      <c r="G114" s="12"/>
      <c r="H114" s="21">
        <v>1</v>
      </c>
      <c r="I114" s="22" t="str">
        <f>IFERROR(M40,"E2")</f>
        <v>Ecuador</v>
      </c>
      <c r="J114" s="12">
        <f>IF(H114=1,COUNTIF($H$105:H114,1),"")</f>
        <v>6</v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25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7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25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Sverige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25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8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25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Egypt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25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9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25">
      <c r="A120" s="12"/>
      <c r="B120" s="12"/>
      <c r="C120" s="12"/>
      <c r="D120" s="12"/>
      <c r="E120" s="12"/>
      <c r="F120" s="12"/>
      <c r="G120" s="12"/>
      <c r="H120" s="21">
        <v>1</v>
      </c>
      <c r="I120" s="22" t="str">
        <f>IFERROR(M64,"H2")</f>
        <v>Uruguay</v>
      </c>
      <c r="J120" s="12">
        <f>IF(H120=1,COUNTIF($H$105:H120,1),"")</f>
        <v>10</v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25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11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25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Norge</v>
      </c>
      <c r="J122" s="12">
        <f>IF(H122=1,COUNTIF($H$105:H122,1),"")</f>
        <v>12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25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13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25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25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14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25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25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15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25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f>IF(H128=1,COUNTIF($H$105:H128,1),"")</f>
        <v>16</v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25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Senegal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25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Ghana</v>
      </c>
      <c r="J130" s="12" t="str">
        <f>IF(H130=1,COUNTIF($H$105:H130,1),"")</f>
        <v/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25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Bosnia-Hercegovina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25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Elfenbenskysten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25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Paraguay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25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Iran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25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Algerie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25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Japan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25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25">
      <c r="A138" s="12"/>
      <c r="B138" s="12"/>
      <c r="C138" s="12"/>
      <c r="D138" s="12"/>
      <c r="E138" s="12"/>
      <c r="F138" s="12"/>
      <c r="G138" s="12"/>
      <c r="H138" s="25"/>
      <c r="I138" s="60" t="s">
        <v>161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25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25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Mexico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25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Sveits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25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Brasil</v>
      </c>
      <c r="J142" s="12">
        <f>IF(H142=1,COUNTIF($H$140:H142,1),"")</f>
        <v>1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25">
      <c r="A143" s="12"/>
      <c r="B143" s="12"/>
      <c r="C143" s="12"/>
      <c r="D143" s="12"/>
      <c r="E143" s="12"/>
      <c r="F143" s="12"/>
      <c r="G143" s="12"/>
      <c r="H143" s="29"/>
      <c r="I143" s="30" t="str">
        <f>IFERROR(INDEX($I$105:$I$136,MATCH(4,$J$105:$J$136,0)),"")</f>
        <v>Marokko</v>
      </c>
      <c r="J143" s="12" t="str">
        <f>IF(H143=1,COUNTIF($H$140:H143,1),"")</f>
        <v/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25">
      <c r="A144" s="12"/>
      <c r="B144" s="12"/>
      <c r="C144" s="12"/>
      <c r="D144" s="12"/>
      <c r="E144" s="12"/>
      <c r="F144" s="12"/>
      <c r="G144" s="12"/>
      <c r="H144" s="26">
        <v>1</v>
      </c>
      <c r="I144" s="27" t="str">
        <f>IFERROR(INDEX($I$105:$I$136,MATCH(5,$J$105:$J$136,0)),"")</f>
        <v>Tyskland</v>
      </c>
      <c r="J144" s="12">
        <f>IF(H144=1,COUNTIF($H$140:H144,1),"")</f>
        <v>2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25">
      <c r="A145" s="12"/>
      <c r="B145" s="12"/>
      <c r="C145" s="12"/>
      <c r="D145" s="12"/>
      <c r="E145" s="12"/>
      <c r="F145" s="12"/>
      <c r="G145" s="12"/>
      <c r="H145" s="29"/>
      <c r="I145" s="30" t="str">
        <f>IFERROR(INDEX($I$105:$I$136,MATCH(6,$J$105:$J$136,0)),"")</f>
        <v>Ecuador</v>
      </c>
      <c r="J145" s="12" t="str">
        <f>IF(H145=1,COUNTIF($H$140:H145,1),"")</f>
        <v/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25">
      <c r="A146" s="12"/>
      <c r="B146" s="12"/>
      <c r="C146" s="12"/>
      <c r="D146" s="12"/>
      <c r="E146" s="12"/>
      <c r="F146" s="12"/>
      <c r="G146" s="12"/>
      <c r="H146" s="26">
        <v>1</v>
      </c>
      <c r="I146" s="27" t="str">
        <f>IFERROR(INDEX($I$105:$I$136,MATCH(7,$J$105:$J$136,0)),"")</f>
        <v>Nederland</v>
      </c>
      <c r="J146" s="12">
        <f>IF(H146=1,COUNTIF($H$140:H146,1),"")</f>
        <v>3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25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Belgia</v>
      </c>
      <c r="J147" s="12">
        <f>IF(H147=1,COUNTIF($H$140:H147,1),"")</f>
        <v>4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25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Spania</v>
      </c>
      <c r="J148" s="12">
        <f>IF(H148=1,COUNTIF($H$140:H148,1),"")</f>
        <v>5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25">
      <c r="A149" s="12"/>
      <c r="B149" s="12"/>
      <c r="C149" s="12"/>
      <c r="D149" s="12"/>
      <c r="E149" s="12"/>
      <c r="F149" s="12"/>
      <c r="G149" s="12"/>
      <c r="H149" s="29"/>
      <c r="I149" s="30" t="str">
        <f>IFERROR(INDEX($I$105:$I$136,MATCH(10,$J$105:$J$136,0)),"")</f>
        <v>Uruguay</v>
      </c>
      <c r="J149" s="12" t="str">
        <f>IF(H149=1,COUNTIF($H$140:H149,1),"")</f>
        <v/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25">
      <c r="A150" s="12"/>
      <c r="B150" s="12"/>
      <c r="C150" s="12"/>
      <c r="D150" s="12"/>
      <c r="E150" s="12"/>
      <c r="F150" s="12"/>
      <c r="G150" s="12"/>
      <c r="H150" s="26">
        <v>1</v>
      </c>
      <c r="I150" s="27" t="str">
        <f>IFERROR(INDEX($I$105:$I$136,MATCH(11,$J$105:$J$136,0)),"")</f>
        <v>Frankrike</v>
      </c>
      <c r="J150" s="12">
        <f>IF(H150=1,COUNTIF($H$140:H150,1),"")</f>
        <v>6</v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25">
      <c r="A151" s="12"/>
      <c r="B151" s="12"/>
      <c r="C151" s="12"/>
      <c r="D151" s="12"/>
      <c r="E151" s="12"/>
      <c r="F151" s="12"/>
      <c r="G151" s="12"/>
      <c r="H151" s="29"/>
      <c r="I151" s="30" t="str">
        <f>IFERROR(INDEX($I$105:$I$136,MATCH(12,$J$105:$J$136,0)),"")</f>
        <v>Norge</v>
      </c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25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Argentina</v>
      </c>
      <c r="J152" s="12">
        <f>IF(H152=1,COUNTIF($H$140:H152,1),"")</f>
        <v>7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25">
      <c r="A153" s="12"/>
      <c r="B153" s="12"/>
      <c r="C153" s="12"/>
      <c r="D153" s="12"/>
      <c r="E153" s="12"/>
      <c r="F153" s="12"/>
      <c r="G153" s="12"/>
      <c r="H153" s="29"/>
      <c r="I153" s="30" t="str">
        <f>IFERROR(INDEX($I$105:$I$136,MATCH(14,$J$105:$J$136,0)),"")</f>
        <v>Portugal</v>
      </c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25">
      <c r="A154" s="12"/>
      <c r="B154" s="12"/>
      <c r="C154" s="12"/>
      <c r="D154" s="12"/>
      <c r="E154" s="12"/>
      <c r="F154" s="12"/>
      <c r="G154" s="12"/>
      <c r="H154" s="26">
        <v>1</v>
      </c>
      <c r="I154" s="27" t="str">
        <f>IFERROR(INDEX($I$105:$I$136,MATCH(15,$J$105:$J$136,0)),"")</f>
        <v>England</v>
      </c>
      <c r="J154" s="12">
        <f>IF(H154=1,COUNTIF($H$140:H154,1),"")</f>
        <v>8</v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25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Kroatia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25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25">
      <c r="A157" s="12"/>
      <c r="B157" s="12"/>
      <c r="C157" s="12"/>
      <c r="D157" s="12"/>
      <c r="E157" s="12"/>
      <c r="F157" s="12"/>
      <c r="G157" s="12"/>
      <c r="H157" s="32"/>
      <c r="I157" s="53" t="s">
        <v>162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25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25">
      <c r="A159" s="12"/>
      <c r="B159" s="12"/>
      <c r="C159" s="12"/>
      <c r="D159" s="12"/>
      <c r="E159" s="12"/>
      <c r="F159" s="12"/>
      <c r="G159" s="12"/>
      <c r="H159" s="33"/>
      <c r="I159" s="34" t="str">
        <f>IFERROR(INDEX($I$140:$I$155,MATCH(1,$J$140:$J$155,0)),"")</f>
        <v>Brasil</v>
      </c>
      <c r="J159" s="12" t="str">
        <f>IF(H159=1,COUNTIF($H$159:H159,1),"")</f>
        <v/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25">
      <c r="A160" s="12"/>
      <c r="B160" s="12"/>
      <c r="C160" s="12"/>
      <c r="D160" s="12"/>
      <c r="E160" s="12"/>
      <c r="F160" s="12"/>
      <c r="G160" s="12"/>
      <c r="H160" s="36"/>
      <c r="I160" s="37" t="str">
        <f>IFERROR(INDEX($I$140:$I$155,MATCH(2,$J$140:$J$155,0)),"")</f>
        <v>Tyskland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25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Nederland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25">
      <c r="A162" s="12"/>
      <c r="B162" s="12"/>
      <c r="C162" s="12"/>
      <c r="D162" s="12"/>
      <c r="E162" s="12"/>
      <c r="F162" s="12"/>
      <c r="G162" s="12"/>
      <c r="H162" s="36"/>
      <c r="I162" s="37" t="str">
        <f>IFERROR(INDEX($I$140:$I$155,MATCH(4,$J$140:$J$155,0)),"")</f>
        <v>Belgia</v>
      </c>
      <c r="J162" s="12" t="str">
        <f>IF(H162=1,COUNTIF($H$159:H162,1),"")</f>
        <v/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25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Spania</v>
      </c>
      <c r="J163" s="12">
        <f>IF(H163=1,COUNTIF($H$159:H163,1),"")</f>
        <v>1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25">
      <c r="A164" s="12"/>
      <c r="B164" s="12"/>
      <c r="C164" s="12"/>
      <c r="D164" s="12"/>
      <c r="E164" s="12"/>
      <c r="F164" s="12"/>
      <c r="G164" s="12"/>
      <c r="H164" s="36">
        <v>1</v>
      </c>
      <c r="I164" s="37" t="str">
        <f>IFERROR(INDEX($I$140:$I$155,MATCH(6,$J$140:$J$155,0)),"")</f>
        <v>Frankrike</v>
      </c>
      <c r="J164" s="12">
        <f>IF(H164=1,COUNTIF($H$159:H164,1),"")</f>
        <v>2</v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25">
      <c r="A165" s="12"/>
      <c r="B165" s="12"/>
      <c r="C165" s="12"/>
      <c r="D165" s="12"/>
      <c r="E165" s="12"/>
      <c r="F165" s="12"/>
      <c r="G165" s="12"/>
      <c r="H165" s="33">
        <v>1</v>
      </c>
      <c r="I165" s="34" t="str">
        <f>IFERROR(INDEX($I$140:$I$155,MATCH(7,$J$140:$J$155,0)),"")</f>
        <v>Argentina</v>
      </c>
      <c r="J165" s="12">
        <f>IF(H165=1,COUNTIF($H$159:H165,1),"")</f>
        <v>3</v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25">
      <c r="A166" s="12"/>
      <c r="B166" s="12"/>
      <c r="C166" s="12"/>
      <c r="D166" s="12"/>
      <c r="E166" s="12"/>
      <c r="F166" s="12"/>
      <c r="G166" s="12"/>
      <c r="H166" s="36">
        <v>1</v>
      </c>
      <c r="I166" s="37" t="str">
        <f>IFERROR(INDEX($I$140:$I$155,MATCH(8,$J$140:$J$155,0)),"")</f>
        <v>England</v>
      </c>
      <c r="J166" s="12">
        <f>IF(H166=1,COUNTIF($H$159:H166,1),"")</f>
        <v>4</v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25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25">
      <c r="A168" s="12"/>
      <c r="B168" s="12"/>
      <c r="C168" s="12"/>
      <c r="D168" s="12"/>
      <c r="E168" s="12"/>
      <c r="F168" s="12"/>
      <c r="G168" s="12"/>
      <c r="H168" s="39"/>
      <c r="I168" s="54" t="s">
        <v>163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25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25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Spania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25">
      <c r="A171" s="12"/>
      <c r="B171" s="12"/>
      <c r="C171" s="12"/>
      <c r="D171" s="12"/>
      <c r="E171" s="12"/>
      <c r="F171" s="12"/>
      <c r="G171" s="12"/>
      <c r="H171" s="43"/>
      <c r="I171" s="44" t="str">
        <f>IFERROR(INDEX($I$159:$I$166,MATCH(2,$J$159:$J$166,0)),"")</f>
        <v>Frankrike</v>
      </c>
      <c r="J171" s="12" t="str">
        <f>IF(H171=1,COUNTIF($H$170:H171,1),"")</f>
        <v/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25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Argentina</v>
      </c>
      <c r="J172" s="12">
        <f>IF(H172=1,COUNTIF($H$170:H172,1),"")</f>
        <v>2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25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England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25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25">
      <c r="A175" s="12"/>
      <c r="B175" s="12"/>
      <c r="C175" s="12"/>
      <c r="D175" s="12"/>
      <c r="E175" s="12"/>
      <c r="F175" s="12"/>
      <c r="G175" s="12"/>
      <c r="H175" s="46"/>
      <c r="I175" s="55" t="s">
        <v>164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25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25">
      <c r="A177" s="12"/>
      <c r="B177" s="12"/>
      <c r="C177" s="12"/>
      <c r="D177" s="12"/>
      <c r="E177" s="12"/>
      <c r="F177" s="12"/>
      <c r="G177" s="12"/>
      <c r="H177" s="47">
        <v>1</v>
      </c>
      <c r="I177" s="48" t="str">
        <f>IFERROR(INDEX($I$170:$I$173,MATCH(1,$J$170:$J$173,0)),"")</f>
        <v>Spania</v>
      </c>
      <c r="J177" s="12">
        <f>IF(H177=1,COUNTIF($H$177:H177,1),"")</f>
        <v>1</v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25">
      <c r="A178" s="12"/>
      <c r="B178" s="12"/>
      <c r="C178" s="12"/>
      <c r="D178" s="12"/>
      <c r="E178" s="12"/>
      <c r="F178" s="12"/>
      <c r="G178" s="12"/>
      <c r="H178" s="50"/>
      <c r="I178" s="51" t="str">
        <f>IFERROR(INDEX($I$170:$I$173,MATCH(2,$J$170:$J$173,0)),"")</f>
        <v>Argentina</v>
      </c>
      <c r="J178" s="12" t="str">
        <f>IF(H178=1,COUNTIF($H$177:H178,1),"")</f>
        <v/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25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25">
      <c r="A300" s="12" t="str">
        <f>M9</f>
        <v>Tsjekkia</v>
      </c>
      <c r="B300" s="12">
        <f>IFERROR(INDEX(AE7:AE10,MATCH(3,AF7:AF10,0)),0)</f>
        <v>1</v>
      </c>
      <c r="C300" s="12">
        <f>IFERROR(INDEX(AD7:AD10,MATCH(3,AF7:AF10,0)),0)</f>
        <v>-2</v>
      </c>
      <c r="D300" s="12">
        <f>IFERROR(INDEX(AB7:AB10,MATCH(3,AF7:AF10,0)),0)</f>
        <v>1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11</v>
      </c>
      <c r="F300" s="12">
        <f t="shared" ref="F300:F311" si="0">IFERROR(VLOOKUP(A300,$A$320:$B$367,2,0),999)</f>
        <v>41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25">
      <c r="A301" s="12" t="str">
        <f>M17</f>
        <v>Bosnia-Hercegovina</v>
      </c>
      <c r="B301" s="12">
        <f>IFERROR(INDEX(AE15:AE18,MATCH(3,AF15:AF18,0)),0)</f>
        <v>4</v>
      </c>
      <c r="C301" s="12">
        <f>IFERROR(INDEX(AD15:AD18,MATCH(3,AF15:AF18,0)),0)</f>
        <v>0</v>
      </c>
      <c r="D301" s="12">
        <f>IFERROR(INDEX(AB15:AB18,MATCH(3,AF15:AF18,0)),0)</f>
        <v>1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3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25">
      <c r="A302" s="12" t="str">
        <f>M25</f>
        <v>Skottland</v>
      </c>
      <c r="B302" s="12">
        <f>IFERROR(INDEX(AE23:AE26,MATCH(3,AF23:AF26,0)),0)</f>
        <v>3</v>
      </c>
      <c r="C302" s="12">
        <f>IFERROR(INDEX(AD23:AD26,MATCH(3,AF23:AF26,0)),0)</f>
        <v>-2</v>
      </c>
      <c r="D302" s="12">
        <f>IFERROR(INDEX(AB23:AB26,MATCH(3,AF23:AF26,0)),0)</f>
        <v>1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9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25">
      <c r="A303" s="12" t="str">
        <f>M33</f>
        <v>Paraguay</v>
      </c>
      <c r="B303" s="12">
        <f>IFERROR(INDEX(AE31:AE34,MATCH(3,AF31:AF34,0)),0)</f>
        <v>3</v>
      </c>
      <c r="C303" s="12">
        <f>IFERROR(INDEX(AD31:AD34,MATCH(3,AF31:AF34,0)),0)</f>
        <v>0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5</v>
      </c>
      <c r="F303" s="12">
        <f t="shared" si="0"/>
        <v>40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25">
      <c r="A304" s="12" t="str">
        <f>M41</f>
        <v>Elfenbenskysten</v>
      </c>
      <c r="B304" s="12">
        <f>IFERROR(INDEX(AE39:AE42,MATCH(3,AF39:AF42,0)),0)</f>
        <v>4</v>
      </c>
      <c r="C304" s="12">
        <f>IFERROR(INDEX(AD39:AD42,MATCH(3,AF39:AF42,0)),0)</f>
        <v>-1</v>
      </c>
      <c r="D304" s="12">
        <f>IFERROR(INDEX(AB39:AB42,MATCH(3,AF39:AF42,0)),0)</f>
        <v>2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4</v>
      </c>
      <c r="F304" s="12">
        <f t="shared" si="0"/>
        <v>34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25">
      <c r="A305" s="12" t="str">
        <f>M49</f>
        <v>Japan</v>
      </c>
      <c r="B305" s="12">
        <f>IFERROR(INDEX(AE47:AE50,MATCH(3,AF47:AF50,0)),0)</f>
        <v>3</v>
      </c>
      <c r="C305" s="12">
        <f>IFERROR(INDEX(AD47:AD50,MATCH(3,AF47:AF50,0)),0)</f>
        <v>-2</v>
      </c>
      <c r="D305" s="12">
        <f>IFERROR(INDEX(AB47:AB50,MATCH(3,AF47:AF50,0)),0)</f>
        <v>1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8</v>
      </c>
      <c r="F305" s="12">
        <f t="shared" si="0"/>
        <v>18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25">
      <c r="A306" s="12" t="str">
        <f>M57</f>
        <v>Iran</v>
      </c>
      <c r="B306" s="12">
        <f>IFERROR(INDEX(AE55:AE58,MATCH(3,AF55:AF58,0)),0)</f>
        <v>3</v>
      </c>
      <c r="C306" s="12">
        <f>IFERROR(INDEX(AD55:AD58,MATCH(3,AF55:AF58,0)),0)</f>
        <v>-1</v>
      </c>
      <c r="D306" s="12">
        <f>IFERROR(INDEX(AB55:AB58,MATCH(3,AF55:AF58,0)),0)</f>
        <v>1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6</v>
      </c>
      <c r="F306" s="12">
        <f t="shared" si="0"/>
        <v>999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25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-4</v>
      </c>
      <c r="D307" s="12">
        <f>IFERROR(INDEX(AB63:AB66,MATCH(3,AF63:AF66,0)),0)</f>
        <v>1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12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25">
      <c r="A308" s="12" t="str">
        <f>M73</f>
        <v>Senegal</v>
      </c>
      <c r="B308" s="12">
        <f>IFERROR(INDEX(AE71:AE74,MATCH(3,AF71:AF74,0)),0)</f>
        <v>4</v>
      </c>
      <c r="C308" s="12">
        <f>IFERROR(INDEX(AD71:AD74,MATCH(3,AF71:AF74,0)),0)</f>
        <v>0</v>
      </c>
      <c r="D308" s="12">
        <f>IFERROR(INDEX(AB71:AB74,MATCH(3,AF71:AF74,0)),0)</f>
        <v>3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1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25">
      <c r="A309" s="12" t="str">
        <f>M81</f>
        <v>Algerie</v>
      </c>
      <c r="B309" s="12">
        <f>IFERROR(INDEX(AE79:AE82,MATCH(3,AF79:AF82,0)),0)</f>
        <v>3</v>
      </c>
      <c r="C309" s="12">
        <f>IFERROR(INDEX(AD79:AD82,MATCH(3,AF79:AF82,0)),0)</f>
        <v>-2</v>
      </c>
      <c r="D309" s="12">
        <f>IFERROR(INDEX(AB79:AB82,MATCH(3,AF79:AF82,0)),0)</f>
        <v>2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7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25">
      <c r="A310" s="12" t="str">
        <f>M89</f>
        <v>DR Kongo</v>
      </c>
      <c r="B310" s="12">
        <f>IFERROR(INDEX(AE87:AE90,MATCH(3,AF87:AF90,0)),0)</f>
        <v>3</v>
      </c>
      <c r="C310" s="12">
        <f>IFERROR(INDEX(AD87:AD90,MATCH(3,AF87:AF90,0)),0)</f>
        <v>-2</v>
      </c>
      <c r="D310" s="12">
        <f>IFERROR(INDEX(AB87:AB90,MATCH(3,AF87:AF90,0)),0)</f>
        <v>1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10</v>
      </c>
      <c r="F310" s="12">
        <f t="shared" si="0"/>
        <v>46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25">
      <c r="A311" s="12" t="str">
        <f>M97</f>
        <v>Ghana</v>
      </c>
      <c r="B311" s="12">
        <f>IFERROR(INDEX(AE95:AE98,MATCH(3,AF95:AF98,0)),0)</f>
        <v>4</v>
      </c>
      <c r="C311" s="12">
        <f>IFERROR(INDEX(AD95:AD98,MATCH(3,AF95:AF98,0)),0)</f>
        <v>0</v>
      </c>
      <c r="D311" s="12">
        <f>IFERROR(INDEX(AB95:AB98,MATCH(3,AF95:AF98,0)),0)</f>
        <v>2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2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25">
      <c r="A320" t="s">
        <v>140</v>
      </c>
      <c r="B320">
        <v>28</v>
      </c>
    </row>
    <row r="321" spans="1:2" ht="15" customHeight="1" x14ac:dyDescent="0.25">
      <c r="A321" t="s">
        <v>139</v>
      </c>
      <c r="B321">
        <v>3</v>
      </c>
    </row>
    <row r="322" spans="1:2" ht="15" customHeight="1" x14ac:dyDescent="0.25">
      <c r="A322" t="s">
        <v>81</v>
      </c>
      <c r="B322">
        <v>27</v>
      </c>
    </row>
    <row r="323" spans="1:2" ht="15" customHeight="1" x14ac:dyDescent="0.25">
      <c r="A323" t="s">
        <v>111</v>
      </c>
      <c r="B323">
        <v>9</v>
      </c>
    </row>
    <row r="324" spans="1:2" ht="15" customHeight="1" x14ac:dyDescent="0.25">
      <c r="A324" t="s">
        <v>52</v>
      </c>
      <c r="B324">
        <v>65</v>
      </c>
    </row>
    <row r="325" spans="1:2" ht="15" customHeight="1" x14ac:dyDescent="0.25">
      <c r="A325" t="s">
        <v>66</v>
      </c>
      <c r="B325">
        <v>6</v>
      </c>
    </row>
    <row r="326" spans="1:2" ht="15" customHeight="1" x14ac:dyDescent="0.25">
      <c r="A326" t="s">
        <v>51</v>
      </c>
      <c r="B326">
        <v>30</v>
      </c>
    </row>
    <row r="327" spans="1:2" ht="15" customHeight="1" x14ac:dyDescent="0.25">
      <c r="A327" t="s">
        <v>149</v>
      </c>
      <c r="B327">
        <v>13</v>
      </c>
    </row>
    <row r="328" spans="1:2" ht="15" customHeight="1" x14ac:dyDescent="0.25">
      <c r="A328" t="s">
        <v>89</v>
      </c>
      <c r="B328">
        <v>82</v>
      </c>
    </row>
    <row r="329" spans="1:2" ht="15" customHeight="1" x14ac:dyDescent="0.25">
      <c r="A329" t="s">
        <v>147</v>
      </c>
      <c r="B329">
        <v>46</v>
      </c>
    </row>
    <row r="330" spans="1:2" ht="15" customHeight="1" x14ac:dyDescent="0.25">
      <c r="A330" t="s">
        <v>93</v>
      </c>
      <c r="B330">
        <v>23</v>
      </c>
    </row>
    <row r="331" spans="1:2" ht="15" customHeight="1" x14ac:dyDescent="0.25">
      <c r="A331" t="s">
        <v>112</v>
      </c>
      <c r="B331">
        <v>29</v>
      </c>
    </row>
    <row r="332" spans="1:2" ht="15" customHeight="1" x14ac:dyDescent="0.25">
      <c r="A332" t="s">
        <v>92</v>
      </c>
      <c r="B332">
        <v>34</v>
      </c>
    </row>
    <row r="333" spans="1:2" ht="15" customHeight="1" x14ac:dyDescent="0.25">
      <c r="A333" t="s">
        <v>154</v>
      </c>
      <c r="B333">
        <v>4</v>
      </c>
    </row>
    <row r="334" spans="1:2" ht="15" customHeight="1" x14ac:dyDescent="0.25">
      <c r="A334" t="s">
        <v>129</v>
      </c>
      <c r="B334">
        <v>1</v>
      </c>
    </row>
    <row r="335" spans="1:2" ht="15" customHeight="1" x14ac:dyDescent="0.25">
      <c r="A335" t="s">
        <v>156</v>
      </c>
      <c r="B335">
        <v>74</v>
      </c>
    </row>
    <row r="336" spans="1:2" ht="15" customHeight="1" x14ac:dyDescent="0.25">
      <c r="A336" t="s">
        <v>70</v>
      </c>
      <c r="B336">
        <v>83</v>
      </c>
    </row>
    <row r="337" spans="1:2" ht="15" customHeight="1" x14ac:dyDescent="0.25">
      <c r="A337" t="s">
        <v>131</v>
      </c>
      <c r="B337">
        <v>57</v>
      </c>
    </row>
    <row r="338" spans="1:2" ht="15" customHeight="1" x14ac:dyDescent="0.25">
      <c r="A338" t="s">
        <v>104</v>
      </c>
      <c r="B338">
        <v>18</v>
      </c>
    </row>
    <row r="339" spans="1:2" ht="15" customHeight="1" x14ac:dyDescent="0.25">
      <c r="A339" t="s">
        <v>142</v>
      </c>
      <c r="B339">
        <v>63</v>
      </c>
    </row>
    <row r="340" spans="1:2" ht="15" customHeight="1" x14ac:dyDescent="0.25">
      <c r="A340" t="s">
        <v>123</v>
      </c>
      <c r="B340">
        <v>69</v>
      </c>
    </row>
    <row r="341" spans="1:2" ht="15" customHeight="1" x14ac:dyDescent="0.25">
      <c r="A341" t="s">
        <v>155</v>
      </c>
      <c r="B341">
        <v>11</v>
      </c>
    </row>
    <row r="342" spans="1:2" ht="15" customHeight="1" x14ac:dyDescent="0.25">
      <c r="A342" t="s">
        <v>165</v>
      </c>
      <c r="B342">
        <v>67</v>
      </c>
    </row>
    <row r="343" spans="1:2" ht="15" customHeight="1" x14ac:dyDescent="0.25">
      <c r="A343" t="s">
        <v>67</v>
      </c>
      <c r="B343">
        <v>8</v>
      </c>
    </row>
    <row r="344" spans="1:2" ht="15" customHeight="1" x14ac:dyDescent="0.25">
      <c r="A344" t="s">
        <v>28</v>
      </c>
      <c r="B344">
        <v>15</v>
      </c>
    </row>
    <row r="345" spans="1:2" ht="15" customHeight="1" x14ac:dyDescent="0.25">
      <c r="A345" t="s">
        <v>103</v>
      </c>
      <c r="B345">
        <v>7</v>
      </c>
    </row>
    <row r="346" spans="1:2" ht="15" customHeight="1" x14ac:dyDescent="0.25">
      <c r="A346" t="s">
        <v>114</v>
      </c>
      <c r="B346">
        <v>85</v>
      </c>
    </row>
    <row r="347" spans="1:2" ht="15" customHeight="1" x14ac:dyDescent="0.25">
      <c r="A347" t="s">
        <v>132</v>
      </c>
      <c r="B347">
        <v>31</v>
      </c>
    </row>
    <row r="348" spans="1:2" ht="15" customHeight="1" x14ac:dyDescent="0.25">
      <c r="A348" t="s">
        <v>157</v>
      </c>
      <c r="B348">
        <v>33</v>
      </c>
    </row>
    <row r="349" spans="1:2" ht="15" customHeight="1" x14ac:dyDescent="0.25">
      <c r="A349" t="s">
        <v>80</v>
      </c>
      <c r="B349">
        <v>40</v>
      </c>
    </row>
    <row r="350" spans="1:2" ht="15" customHeight="1" x14ac:dyDescent="0.25">
      <c r="A350" t="s">
        <v>146</v>
      </c>
      <c r="B350">
        <v>5</v>
      </c>
    </row>
    <row r="351" spans="1:2" ht="15" customHeight="1" x14ac:dyDescent="0.25">
      <c r="A351" t="s">
        <v>54</v>
      </c>
      <c r="B351">
        <v>55</v>
      </c>
    </row>
    <row r="352" spans="1:2" ht="15" customHeight="1" x14ac:dyDescent="0.25">
      <c r="A352" t="s">
        <v>124</v>
      </c>
      <c r="B352">
        <v>61</v>
      </c>
    </row>
    <row r="353" spans="1:2" ht="15" customHeight="1" x14ac:dyDescent="0.25">
      <c r="A353" t="s">
        <v>130</v>
      </c>
      <c r="B353">
        <v>14</v>
      </c>
    </row>
    <row r="354" spans="1:2" ht="15" customHeight="1" x14ac:dyDescent="0.25">
      <c r="A354" t="s">
        <v>71</v>
      </c>
      <c r="B354">
        <v>43</v>
      </c>
    </row>
    <row r="355" spans="1:2" ht="15" customHeight="1" x14ac:dyDescent="0.25">
      <c r="A355" t="s">
        <v>122</v>
      </c>
      <c r="B355">
        <v>2</v>
      </c>
    </row>
    <row r="356" spans="1:2" ht="15" customHeight="1" x14ac:dyDescent="0.25">
      <c r="A356" t="s">
        <v>55</v>
      </c>
      <c r="B356">
        <v>19</v>
      </c>
    </row>
    <row r="357" spans="1:2" ht="15" customHeight="1" x14ac:dyDescent="0.25">
      <c r="A357" t="s">
        <v>106</v>
      </c>
      <c r="B357">
        <v>38</v>
      </c>
    </row>
    <row r="358" spans="1:2" ht="15" customHeight="1" x14ac:dyDescent="0.25">
      <c r="A358" t="s">
        <v>30</v>
      </c>
      <c r="B358">
        <v>60</v>
      </c>
    </row>
    <row r="359" spans="1:2" ht="15" customHeight="1" x14ac:dyDescent="0.25">
      <c r="A359" t="s">
        <v>35</v>
      </c>
      <c r="B359">
        <v>25</v>
      </c>
    </row>
    <row r="360" spans="1:2" ht="15" customHeight="1" x14ac:dyDescent="0.25">
      <c r="A360" t="s">
        <v>36</v>
      </c>
      <c r="B360">
        <v>41</v>
      </c>
    </row>
    <row r="361" spans="1:2" ht="15" customHeight="1" x14ac:dyDescent="0.25">
      <c r="A361" t="s">
        <v>107</v>
      </c>
      <c r="B361">
        <v>44</v>
      </c>
    </row>
    <row r="362" spans="1:2" ht="15" customHeight="1" x14ac:dyDescent="0.25">
      <c r="A362" t="s">
        <v>82</v>
      </c>
      <c r="B362">
        <v>21</v>
      </c>
    </row>
    <row r="363" spans="1:2" ht="15" customHeight="1" x14ac:dyDescent="0.25">
      <c r="A363" t="s">
        <v>88</v>
      </c>
      <c r="B363">
        <v>10</v>
      </c>
    </row>
    <row r="364" spans="1:2" ht="15" customHeight="1" x14ac:dyDescent="0.25">
      <c r="A364" t="s">
        <v>79</v>
      </c>
      <c r="B364">
        <v>16</v>
      </c>
    </row>
    <row r="365" spans="1:2" ht="15" customHeight="1" x14ac:dyDescent="0.25">
      <c r="A365" t="s">
        <v>125</v>
      </c>
      <c r="B365">
        <v>17</v>
      </c>
    </row>
    <row r="366" spans="1:2" ht="15" customHeight="1" x14ac:dyDescent="0.25">
      <c r="A366" t="s">
        <v>148</v>
      </c>
      <c r="B366">
        <v>50</v>
      </c>
    </row>
    <row r="367" spans="1:2" ht="15" customHeight="1" x14ac:dyDescent="0.25">
      <c r="A367" t="s">
        <v>141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89171D-7414-480A-A6B0-4629BA2371E5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2.xml><?xml version="1.0" encoding="utf-8"?>
<ds:datastoreItem xmlns:ds="http://schemas.openxmlformats.org/officeDocument/2006/customXml" ds:itemID="{AD46F970-DEC9-4AF4-95E8-BA2A2F98E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AB9BB-D206-4B42-BC5A-546223F12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2026-06-11T13:59:02Z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