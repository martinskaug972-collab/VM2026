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211" documentId="8_{6F7689B8-823D-46C0-BA78-F7461C9548AC}" xr6:coauthVersionLast="47" xr6:coauthVersionMax="47" xr10:uidLastSave="{630A4ADA-0F15-409B-90EE-36E26E984309}"/>
  <bookViews>
    <workbookView xWindow="-23148" yWindow="8172" windowWidth="23256" windowHeight="13896" tabRatio="500" xr2:uid="{00000000-000D-0000-FFFF-FFFF00000000}"/>
  </bookViews>
  <sheets>
    <sheet name="MINE TI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5" i="1" l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3" i="1"/>
  <c r="J134" i="1"/>
  <c r="J135" i="1"/>
  <c r="J136" i="1"/>
  <c r="J178" i="1"/>
  <c r="J177" i="1"/>
  <c r="H176" i="1"/>
  <c r="J173" i="1"/>
  <c r="J172" i="1"/>
  <c r="J171" i="1"/>
  <c r="J170" i="1"/>
  <c r="H169" i="1"/>
  <c r="J166" i="1"/>
  <c r="J165" i="1"/>
  <c r="J164" i="1"/>
  <c r="J163" i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H139" i="1"/>
  <c r="J132" i="1"/>
  <c r="H104" i="1"/>
  <c r="AC98" i="1"/>
  <c r="AB98" i="1"/>
  <c r="AD98" i="1" s="1"/>
  <c r="AA98" i="1"/>
  <c r="Z98" i="1"/>
  <c r="Y98" i="1"/>
  <c r="X98" i="1"/>
  <c r="AC97" i="1"/>
  <c r="AB97" i="1"/>
  <c r="AA97" i="1"/>
  <c r="Z97" i="1"/>
  <c r="Y97" i="1"/>
  <c r="X97" i="1"/>
  <c r="AC96" i="1"/>
  <c r="AB96" i="1"/>
  <c r="AA96" i="1"/>
  <c r="Z96" i="1"/>
  <c r="Y96" i="1"/>
  <c r="X96" i="1"/>
  <c r="AC95" i="1"/>
  <c r="AB95" i="1"/>
  <c r="AA95" i="1"/>
  <c r="Z95" i="1"/>
  <c r="Y95" i="1"/>
  <c r="X95" i="1"/>
  <c r="AC90" i="1"/>
  <c r="AB90" i="1"/>
  <c r="AA90" i="1"/>
  <c r="Z90" i="1"/>
  <c r="Y90" i="1"/>
  <c r="X90" i="1"/>
  <c r="AC89" i="1"/>
  <c r="AB89" i="1"/>
  <c r="AA89" i="1"/>
  <c r="Z89" i="1"/>
  <c r="Y89" i="1"/>
  <c r="X89" i="1"/>
  <c r="AC88" i="1"/>
  <c r="AB88" i="1"/>
  <c r="AA88" i="1"/>
  <c r="Z88" i="1"/>
  <c r="Y88" i="1"/>
  <c r="AE88" i="1" s="1"/>
  <c r="X88" i="1"/>
  <c r="AC87" i="1"/>
  <c r="AB87" i="1"/>
  <c r="AA87" i="1"/>
  <c r="Z87" i="1"/>
  <c r="Y87" i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A79" i="1"/>
  <c r="Z79" i="1"/>
  <c r="Y79" i="1"/>
  <c r="X79" i="1"/>
  <c r="AC74" i="1"/>
  <c r="AB74" i="1"/>
  <c r="AD74" i="1" s="1"/>
  <c r="AA74" i="1"/>
  <c r="Z74" i="1"/>
  <c r="Y74" i="1"/>
  <c r="AE74" i="1" s="1"/>
  <c r="X74" i="1"/>
  <c r="AC73" i="1"/>
  <c r="AB73" i="1"/>
  <c r="AD73" i="1" s="1"/>
  <c r="AA73" i="1"/>
  <c r="Z73" i="1"/>
  <c r="Y73" i="1"/>
  <c r="X73" i="1"/>
  <c r="AC72" i="1"/>
  <c r="AB72" i="1"/>
  <c r="AA72" i="1"/>
  <c r="Z72" i="1"/>
  <c r="Y72" i="1"/>
  <c r="AE72" i="1" s="1"/>
  <c r="X72" i="1"/>
  <c r="AC71" i="1"/>
  <c r="AB71" i="1"/>
  <c r="AA71" i="1"/>
  <c r="Z71" i="1"/>
  <c r="Y71" i="1"/>
  <c r="X71" i="1"/>
  <c r="AC66" i="1"/>
  <c r="AB66" i="1"/>
  <c r="AD66" i="1" s="1"/>
  <c r="AA66" i="1"/>
  <c r="Z66" i="1"/>
  <c r="Y66" i="1"/>
  <c r="X66" i="1"/>
  <c r="AC65" i="1"/>
  <c r="AB65" i="1"/>
  <c r="AA65" i="1"/>
  <c r="Z65" i="1"/>
  <c r="Y65" i="1"/>
  <c r="X65" i="1"/>
  <c r="AC64" i="1"/>
  <c r="AB64" i="1"/>
  <c r="AA64" i="1"/>
  <c r="Z64" i="1"/>
  <c r="Y64" i="1"/>
  <c r="X64" i="1"/>
  <c r="AC63" i="1"/>
  <c r="AB63" i="1"/>
  <c r="AA63" i="1"/>
  <c r="Z63" i="1"/>
  <c r="Y63" i="1"/>
  <c r="X63" i="1"/>
  <c r="AC58" i="1"/>
  <c r="AB58" i="1"/>
  <c r="AD58" i="1" s="1"/>
  <c r="AA58" i="1"/>
  <c r="Z58" i="1"/>
  <c r="Y58" i="1"/>
  <c r="X58" i="1"/>
  <c r="AC57" i="1"/>
  <c r="AB57" i="1"/>
  <c r="AA57" i="1"/>
  <c r="Z57" i="1"/>
  <c r="Y57" i="1"/>
  <c r="AE57" i="1" s="1"/>
  <c r="X57" i="1"/>
  <c r="AC56" i="1"/>
  <c r="AB56" i="1"/>
  <c r="AD56" i="1" s="1"/>
  <c r="AA56" i="1"/>
  <c r="Z56" i="1"/>
  <c r="Y56" i="1"/>
  <c r="X56" i="1"/>
  <c r="AC55" i="1"/>
  <c r="AB55" i="1"/>
  <c r="AA55" i="1"/>
  <c r="Z55" i="1"/>
  <c r="Y55" i="1"/>
  <c r="X55" i="1"/>
  <c r="AC50" i="1"/>
  <c r="AB50" i="1"/>
  <c r="AD50" i="1" s="1"/>
  <c r="AA50" i="1"/>
  <c r="Z50" i="1"/>
  <c r="Y50" i="1"/>
  <c r="X50" i="1"/>
  <c r="AC49" i="1"/>
  <c r="AB49" i="1"/>
  <c r="AA49" i="1"/>
  <c r="Z49" i="1"/>
  <c r="Y49" i="1"/>
  <c r="X49" i="1"/>
  <c r="AC48" i="1"/>
  <c r="AB48" i="1"/>
  <c r="AA48" i="1"/>
  <c r="Z48" i="1"/>
  <c r="Y48" i="1"/>
  <c r="X48" i="1"/>
  <c r="AC47" i="1"/>
  <c r="AB47" i="1"/>
  <c r="AA47" i="1"/>
  <c r="Z47" i="1"/>
  <c r="Y47" i="1"/>
  <c r="AE47" i="1" s="1"/>
  <c r="X47" i="1"/>
  <c r="AC42" i="1"/>
  <c r="AB42" i="1"/>
  <c r="AA42" i="1"/>
  <c r="Z42" i="1"/>
  <c r="Y42" i="1"/>
  <c r="X42" i="1"/>
  <c r="AC41" i="1"/>
  <c r="AB41" i="1"/>
  <c r="AA41" i="1"/>
  <c r="Z41" i="1"/>
  <c r="Y41" i="1"/>
  <c r="AE41" i="1" s="1"/>
  <c r="X41" i="1"/>
  <c r="AC40" i="1"/>
  <c r="AB40" i="1"/>
  <c r="AA40" i="1"/>
  <c r="Z40" i="1"/>
  <c r="Y40" i="1"/>
  <c r="X40" i="1"/>
  <c r="AC39" i="1"/>
  <c r="AB39" i="1"/>
  <c r="AA39" i="1"/>
  <c r="Z39" i="1"/>
  <c r="Y39" i="1"/>
  <c r="AE39" i="1" s="1"/>
  <c r="X39" i="1"/>
  <c r="AC34" i="1"/>
  <c r="AB34" i="1"/>
  <c r="AA34" i="1"/>
  <c r="Z34" i="1"/>
  <c r="Y34" i="1"/>
  <c r="X34" i="1"/>
  <c r="AC33" i="1"/>
  <c r="AB33" i="1"/>
  <c r="AA33" i="1"/>
  <c r="Z33" i="1"/>
  <c r="Y33" i="1"/>
  <c r="AE33" i="1" s="1"/>
  <c r="X33" i="1"/>
  <c r="AC32" i="1"/>
  <c r="AB32" i="1"/>
  <c r="AA32" i="1"/>
  <c r="Z32" i="1"/>
  <c r="Y32" i="1"/>
  <c r="X32" i="1"/>
  <c r="AC31" i="1"/>
  <c r="AB31" i="1"/>
  <c r="AA31" i="1"/>
  <c r="Z31" i="1"/>
  <c r="Y31" i="1"/>
  <c r="X31" i="1"/>
  <c r="AC26" i="1"/>
  <c r="AB26" i="1"/>
  <c r="AA26" i="1"/>
  <c r="Z26" i="1"/>
  <c r="Y26" i="1"/>
  <c r="X26" i="1"/>
  <c r="AC25" i="1"/>
  <c r="AB25" i="1"/>
  <c r="AA25" i="1"/>
  <c r="Z25" i="1"/>
  <c r="Y25" i="1"/>
  <c r="X25" i="1"/>
  <c r="AC24" i="1"/>
  <c r="AB24" i="1"/>
  <c r="AA24" i="1"/>
  <c r="Z24" i="1"/>
  <c r="Y24" i="1"/>
  <c r="X24" i="1"/>
  <c r="AC23" i="1"/>
  <c r="AB23" i="1"/>
  <c r="AA23" i="1"/>
  <c r="Z23" i="1"/>
  <c r="Y23" i="1"/>
  <c r="X23" i="1"/>
  <c r="AC18" i="1"/>
  <c r="AB18" i="1"/>
  <c r="AD18" i="1" s="1"/>
  <c r="AA18" i="1"/>
  <c r="Z18" i="1"/>
  <c r="Y18" i="1"/>
  <c r="X18" i="1"/>
  <c r="AC17" i="1"/>
  <c r="AB17" i="1"/>
  <c r="AA17" i="1"/>
  <c r="Z17" i="1"/>
  <c r="Y17" i="1"/>
  <c r="X17" i="1"/>
  <c r="AC16" i="1"/>
  <c r="AB16" i="1"/>
  <c r="AA16" i="1"/>
  <c r="Z16" i="1"/>
  <c r="Y16" i="1"/>
  <c r="X16" i="1"/>
  <c r="AC15" i="1"/>
  <c r="AB15" i="1"/>
  <c r="AA15" i="1"/>
  <c r="Z15" i="1"/>
  <c r="Y15" i="1"/>
  <c r="X15" i="1"/>
  <c r="AC10" i="1"/>
  <c r="AB10" i="1"/>
  <c r="AA10" i="1"/>
  <c r="Z10" i="1"/>
  <c r="Y10" i="1"/>
  <c r="X10" i="1"/>
  <c r="AC9" i="1"/>
  <c r="AB9" i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X7" i="1"/>
  <c r="I178" i="1" l="1"/>
  <c r="I161" i="1"/>
  <c r="I153" i="1"/>
  <c r="I152" i="1"/>
  <c r="AD96" i="1"/>
  <c r="AD95" i="1"/>
  <c r="AD97" i="1"/>
  <c r="AD90" i="1"/>
  <c r="AD87" i="1"/>
  <c r="AD88" i="1"/>
  <c r="AE87" i="1"/>
  <c r="AE89" i="1"/>
  <c r="AD89" i="1"/>
  <c r="AD79" i="1"/>
  <c r="AD72" i="1"/>
  <c r="AD71" i="1"/>
  <c r="AE71" i="1"/>
  <c r="AE66" i="1"/>
  <c r="AE63" i="1"/>
  <c r="AE65" i="1"/>
  <c r="AD65" i="1"/>
  <c r="AE64" i="1"/>
  <c r="AE56" i="1"/>
  <c r="AD55" i="1"/>
  <c r="AD57" i="1"/>
  <c r="AE58" i="1"/>
  <c r="AE49" i="1"/>
  <c r="AD47" i="1"/>
  <c r="AD49" i="1"/>
  <c r="AE50" i="1"/>
  <c r="AD40" i="1"/>
  <c r="AE42" i="1"/>
  <c r="AD39" i="1"/>
  <c r="AD41" i="1"/>
  <c r="AE31" i="1"/>
  <c r="AD31" i="1"/>
  <c r="AD33" i="1"/>
  <c r="AE32" i="1"/>
  <c r="AE34" i="1"/>
  <c r="AD24" i="1"/>
  <c r="AD26" i="1"/>
  <c r="AD23" i="1"/>
  <c r="AD25" i="1"/>
  <c r="AE23" i="1"/>
  <c r="AE24" i="1"/>
  <c r="AE17" i="1"/>
  <c r="AD15" i="1"/>
  <c r="AE16" i="1"/>
  <c r="AD17" i="1"/>
  <c r="AD16" i="1"/>
  <c r="AE8" i="1"/>
  <c r="AE10" i="1"/>
  <c r="AE95" i="1"/>
  <c r="AE97" i="1"/>
  <c r="AE96" i="1"/>
  <c r="AE79" i="1"/>
  <c r="AE81" i="1"/>
  <c r="AE82" i="1"/>
  <c r="AE80" i="1"/>
  <c r="AD81" i="1"/>
  <c r="AD80" i="1"/>
  <c r="AD82" i="1"/>
  <c r="AE73" i="1"/>
  <c r="AD64" i="1"/>
  <c r="AD63" i="1"/>
  <c r="AE55" i="1"/>
  <c r="AF58" i="1" s="1"/>
  <c r="AD48" i="1"/>
  <c r="AE48" i="1"/>
  <c r="AD42" i="1"/>
  <c r="AD32" i="1"/>
  <c r="AD34" i="1"/>
  <c r="AE25" i="1"/>
  <c r="AE15" i="1"/>
  <c r="AE7" i="1"/>
  <c r="AD8" i="1"/>
  <c r="AD9" i="1"/>
  <c r="AE9" i="1"/>
  <c r="AD10" i="1"/>
  <c r="AD7" i="1"/>
  <c r="AE26" i="1"/>
  <c r="AE40" i="1"/>
  <c r="AE98" i="1"/>
  <c r="AF57" i="1"/>
  <c r="AE18" i="1"/>
  <c r="AE90" i="1"/>
  <c r="I162" i="1"/>
  <c r="I142" i="1"/>
  <c r="I148" i="1"/>
  <c r="I154" i="1"/>
  <c r="I171" i="1"/>
  <c r="I163" i="1"/>
  <c r="I143" i="1"/>
  <c r="I149" i="1"/>
  <c r="I155" i="1"/>
  <c r="I172" i="1"/>
  <c r="I164" i="1"/>
  <c r="I144" i="1"/>
  <c r="I150" i="1"/>
  <c r="I173" i="1"/>
  <c r="I159" i="1"/>
  <c r="I165" i="1"/>
  <c r="I145" i="1"/>
  <c r="I151" i="1"/>
  <c r="I160" i="1"/>
  <c r="I166" i="1"/>
  <c r="I177" i="1"/>
  <c r="I140" i="1"/>
  <c r="I146" i="1"/>
  <c r="I141" i="1"/>
  <c r="I147" i="1"/>
  <c r="AF95" i="1" l="1"/>
  <c r="S97" i="1" s="1"/>
  <c r="AF97" i="1"/>
  <c r="AF88" i="1"/>
  <c r="AF87" i="1"/>
  <c r="AF82" i="1"/>
  <c r="AF80" i="1"/>
  <c r="P82" i="1" s="1"/>
  <c r="AF81" i="1"/>
  <c r="AF72" i="1"/>
  <c r="AF71" i="1"/>
  <c r="M73" i="1" s="1"/>
  <c r="A308" i="1" s="1"/>
  <c r="F308" i="1" s="1"/>
  <c r="AF66" i="1"/>
  <c r="N64" i="1" s="1"/>
  <c r="AF64" i="1"/>
  <c r="AF63" i="1"/>
  <c r="Q66" i="1" s="1"/>
  <c r="AF65" i="1"/>
  <c r="P63" i="1" s="1"/>
  <c r="AF55" i="1"/>
  <c r="T55" i="1" s="1"/>
  <c r="AF56" i="1"/>
  <c r="N57" i="1" s="1"/>
  <c r="AF49" i="1"/>
  <c r="T50" i="1" s="1"/>
  <c r="AF47" i="1"/>
  <c r="AF50" i="1"/>
  <c r="T47" i="1" s="1"/>
  <c r="AF48" i="1"/>
  <c r="R48" i="1" s="1"/>
  <c r="AF42" i="1"/>
  <c r="AF39" i="1"/>
  <c r="AF32" i="1"/>
  <c r="AF25" i="1"/>
  <c r="AF17" i="1"/>
  <c r="AF18" i="1"/>
  <c r="AF96" i="1"/>
  <c r="N96" i="1" s="1"/>
  <c r="AF98" i="1"/>
  <c r="S95" i="1" s="1"/>
  <c r="AF89" i="1"/>
  <c r="D310" i="1" s="1"/>
  <c r="AF79" i="1"/>
  <c r="M80" i="1" s="1"/>
  <c r="I124" i="1" s="1"/>
  <c r="P80" i="1"/>
  <c r="R79" i="1"/>
  <c r="AF74" i="1"/>
  <c r="AF73" i="1"/>
  <c r="O63" i="1"/>
  <c r="U64" i="1"/>
  <c r="O65" i="1"/>
  <c r="R47" i="1"/>
  <c r="AF40" i="1"/>
  <c r="N40" i="1" s="1"/>
  <c r="AF34" i="1"/>
  <c r="AF31" i="1"/>
  <c r="N32" i="1" s="1"/>
  <c r="AF33" i="1"/>
  <c r="Q34" i="1" s="1"/>
  <c r="AF16" i="1"/>
  <c r="AF8" i="1"/>
  <c r="AF9" i="1"/>
  <c r="AF10" i="1"/>
  <c r="AF7" i="1"/>
  <c r="U7" i="1" s="1"/>
  <c r="T87" i="1"/>
  <c r="S87" i="1"/>
  <c r="N87" i="1"/>
  <c r="U66" i="1"/>
  <c r="AF24" i="1"/>
  <c r="M47" i="1"/>
  <c r="I115" i="1" s="1"/>
  <c r="N47" i="1"/>
  <c r="S47" i="1"/>
  <c r="N79" i="1"/>
  <c r="P66" i="1"/>
  <c r="Q55" i="1"/>
  <c r="AF26" i="1"/>
  <c r="Q47" i="1"/>
  <c r="M79" i="1"/>
  <c r="I123" i="1" s="1"/>
  <c r="AF15" i="1"/>
  <c r="O47" i="1"/>
  <c r="AF90" i="1"/>
  <c r="N50" i="1"/>
  <c r="AF41" i="1"/>
  <c r="P47" i="1"/>
  <c r="N55" i="1"/>
  <c r="T95" i="1"/>
  <c r="P95" i="1"/>
  <c r="O95" i="1"/>
  <c r="Q50" i="1"/>
  <c r="U47" i="1"/>
  <c r="AF23" i="1"/>
  <c r="U79" i="1"/>
  <c r="M55" i="1"/>
  <c r="I117" i="1" s="1"/>
  <c r="R81" i="1"/>
  <c r="R97" i="1" l="1"/>
  <c r="T98" i="1"/>
  <c r="T97" i="1"/>
  <c r="P96" i="1"/>
  <c r="N98" i="1"/>
  <c r="P98" i="1"/>
  <c r="U96" i="1"/>
  <c r="O96" i="1"/>
  <c r="Q96" i="1"/>
  <c r="O97" i="1"/>
  <c r="U97" i="1"/>
  <c r="Q98" i="1"/>
  <c r="U98" i="1"/>
  <c r="O98" i="1"/>
  <c r="R96" i="1"/>
  <c r="R98" i="1"/>
  <c r="P97" i="1"/>
  <c r="S96" i="1"/>
  <c r="M96" i="1"/>
  <c r="I128" i="1" s="1"/>
  <c r="M97" i="1"/>
  <c r="A311" i="1" s="1"/>
  <c r="F311" i="1" s="1"/>
  <c r="S98" i="1"/>
  <c r="M98" i="1"/>
  <c r="T96" i="1"/>
  <c r="Q97" i="1"/>
  <c r="N97" i="1"/>
  <c r="C311" i="1"/>
  <c r="B311" i="1"/>
  <c r="D311" i="1"/>
  <c r="S89" i="1"/>
  <c r="S88" i="1"/>
  <c r="T89" i="1"/>
  <c r="P89" i="1"/>
  <c r="N89" i="1"/>
  <c r="R90" i="1"/>
  <c r="O89" i="1"/>
  <c r="N90" i="1"/>
  <c r="R89" i="1"/>
  <c r="U87" i="1"/>
  <c r="M87" i="1"/>
  <c r="I125" i="1" s="1"/>
  <c r="U89" i="1"/>
  <c r="U90" i="1"/>
  <c r="Q89" i="1"/>
  <c r="P87" i="1"/>
  <c r="P90" i="1"/>
  <c r="Q90" i="1"/>
  <c r="M90" i="1"/>
  <c r="S90" i="1"/>
  <c r="T90" i="1"/>
  <c r="O87" i="1"/>
  <c r="Q87" i="1"/>
  <c r="O90" i="1"/>
  <c r="R87" i="1"/>
  <c r="M89" i="1"/>
  <c r="A310" i="1" s="1"/>
  <c r="F310" i="1" s="1"/>
  <c r="B310" i="1"/>
  <c r="C310" i="1"/>
  <c r="P81" i="1"/>
  <c r="S81" i="1"/>
  <c r="Q82" i="1"/>
  <c r="U81" i="1"/>
  <c r="R80" i="1"/>
  <c r="Q81" i="1"/>
  <c r="T80" i="1"/>
  <c r="N81" i="1"/>
  <c r="U80" i="1"/>
  <c r="T81" i="1"/>
  <c r="O82" i="1"/>
  <c r="S79" i="1"/>
  <c r="Q80" i="1"/>
  <c r="M81" i="1"/>
  <c r="A309" i="1" s="1"/>
  <c r="F309" i="1" s="1"/>
  <c r="N80" i="1"/>
  <c r="S82" i="1"/>
  <c r="O81" i="1"/>
  <c r="N82" i="1"/>
  <c r="S80" i="1"/>
  <c r="T79" i="1"/>
  <c r="O79" i="1"/>
  <c r="M82" i="1"/>
  <c r="O80" i="1"/>
  <c r="P79" i="1"/>
  <c r="Q79" i="1"/>
  <c r="U82" i="1"/>
  <c r="R82" i="1"/>
  <c r="T82" i="1"/>
  <c r="B309" i="1"/>
  <c r="D309" i="1"/>
  <c r="C309" i="1"/>
  <c r="O73" i="1"/>
  <c r="M71" i="1"/>
  <c r="I121" i="1" s="1"/>
  <c r="T73" i="1"/>
  <c r="Q71" i="1"/>
  <c r="N73" i="1"/>
  <c r="P73" i="1"/>
  <c r="Q73" i="1"/>
  <c r="N71" i="1"/>
  <c r="P71" i="1"/>
  <c r="U71" i="1"/>
  <c r="T71" i="1"/>
  <c r="R71" i="1"/>
  <c r="P72" i="1"/>
  <c r="O71" i="1"/>
  <c r="R73" i="1"/>
  <c r="M72" i="1"/>
  <c r="I122" i="1" s="1"/>
  <c r="S71" i="1"/>
  <c r="R74" i="1"/>
  <c r="Q74" i="1"/>
  <c r="O72" i="1"/>
  <c r="S72" i="1"/>
  <c r="Q72" i="1"/>
  <c r="P74" i="1"/>
  <c r="O74" i="1"/>
  <c r="N74" i="1"/>
  <c r="N72" i="1"/>
  <c r="M74" i="1"/>
  <c r="S74" i="1"/>
  <c r="U74" i="1"/>
  <c r="U72" i="1"/>
  <c r="T74" i="1"/>
  <c r="T72" i="1"/>
  <c r="R72" i="1"/>
  <c r="U73" i="1"/>
  <c r="S73" i="1"/>
  <c r="B308" i="1"/>
  <c r="C308" i="1"/>
  <c r="M64" i="1"/>
  <c r="I120" i="1" s="1"/>
  <c r="O66" i="1"/>
  <c r="R66" i="1"/>
  <c r="U63" i="1"/>
  <c r="T65" i="1"/>
  <c r="R64" i="1"/>
  <c r="S64" i="1"/>
  <c r="Q64" i="1"/>
  <c r="N63" i="1"/>
  <c r="M63" i="1"/>
  <c r="I119" i="1" s="1"/>
  <c r="T66" i="1"/>
  <c r="P64" i="1"/>
  <c r="O64" i="1"/>
  <c r="S66" i="1"/>
  <c r="R63" i="1"/>
  <c r="U65" i="1"/>
  <c r="P65" i="1"/>
  <c r="S65" i="1"/>
  <c r="T63" i="1"/>
  <c r="M65" i="1"/>
  <c r="A307" i="1" s="1"/>
  <c r="F307" i="1" s="1"/>
  <c r="R65" i="1"/>
  <c r="Q65" i="1"/>
  <c r="T64" i="1"/>
  <c r="N65" i="1"/>
  <c r="N66" i="1"/>
  <c r="M66" i="1"/>
  <c r="Q63" i="1"/>
  <c r="S63" i="1"/>
  <c r="B307" i="1"/>
  <c r="D307" i="1"/>
  <c r="C307" i="1"/>
  <c r="T57" i="1"/>
  <c r="R58" i="1"/>
  <c r="B306" i="1"/>
  <c r="O57" i="1"/>
  <c r="M57" i="1"/>
  <c r="A306" i="1" s="1"/>
  <c r="F306" i="1" s="1"/>
  <c r="P55" i="1"/>
  <c r="S58" i="1"/>
  <c r="R55" i="1"/>
  <c r="P58" i="1"/>
  <c r="N58" i="1"/>
  <c r="T58" i="1"/>
  <c r="S57" i="1"/>
  <c r="Q58" i="1"/>
  <c r="R57" i="1"/>
  <c r="P57" i="1"/>
  <c r="U55" i="1"/>
  <c r="S55" i="1"/>
  <c r="O55" i="1"/>
  <c r="U58" i="1"/>
  <c r="M58" i="1"/>
  <c r="U57" i="1"/>
  <c r="O58" i="1"/>
  <c r="Q57" i="1"/>
  <c r="O56" i="1"/>
  <c r="N56" i="1"/>
  <c r="M56" i="1"/>
  <c r="I118" i="1" s="1"/>
  <c r="U56" i="1"/>
  <c r="T56" i="1"/>
  <c r="R56" i="1"/>
  <c r="S56" i="1"/>
  <c r="Q56" i="1"/>
  <c r="P56" i="1"/>
  <c r="C306" i="1"/>
  <c r="D306" i="1"/>
  <c r="U50" i="1"/>
  <c r="P50" i="1"/>
  <c r="S50" i="1"/>
  <c r="O50" i="1"/>
  <c r="N49" i="1"/>
  <c r="O48" i="1"/>
  <c r="M48" i="1"/>
  <c r="I116" i="1" s="1"/>
  <c r="T48" i="1"/>
  <c r="Q48" i="1"/>
  <c r="R50" i="1"/>
  <c r="S48" i="1"/>
  <c r="U49" i="1"/>
  <c r="U48" i="1"/>
  <c r="M49" i="1"/>
  <c r="A305" i="1" s="1"/>
  <c r="F305" i="1" s="1"/>
  <c r="R49" i="1"/>
  <c r="N48" i="1"/>
  <c r="M50" i="1"/>
  <c r="P48" i="1"/>
  <c r="Q49" i="1"/>
  <c r="T49" i="1"/>
  <c r="S49" i="1"/>
  <c r="P49" i="1"/>
  <c r="O49" i="1"/>
  <c r="B305" i="1"/>
  <c r="D305" i="1"/>
  <c r="C305" i="1"/>
  <c r="O42" i="1"/>
  <c r="M40" i="1"/>
  <c r="I114" i="1" s="1"/>
  <c r="S40" i="1"/>
  <c r="M42" i="1"/>
  <c r="Q40" i="1"/>
  <c r="Q42" i="1"/>
  <c r="R42" i="1"/>
  <c r="O40" i="1"/>
  <c r="P42" i="1"/>
  <c r="T40" i="1"/>
  <c r="U40" i="1"/>
  <c r="R40" i="1"/>
  <c r="T41" i="1"/>
  <c r="U42" i="1"/>
  <c r="N42" i="1"/>
  <c r="T42" i="1"/>
  <c r="S42" i="1"/>
  <c r="P40" i="1"/>
  <c r="M34" i="1"/>
  <c r="P34" i="1"/>
  <c r="N33" i="1"/>
  <c r="T32" i="1"/>
  <c r="P33" i="1"/>
  <c r="R32" i="1"/>
  <c r="P32" i="1"/>
  <c r="U34" i="1"/>
  <c r="N31" i="1"/>
  <c r="R33" i="1"/>
  <c r="U31" i="1"/>
  <c r="S33" i="1"/>
  <c r="O33" i="1"/>
  <c r="Q33" i="1"/>
  <c r="M33" i="1"/>
  <c r="A303" i="1" s="1"/>
  <c r="F303" i="1" s="1"/>
  <c r="S34" i="1"/>
  <c r="M32" i="1"/>
  <c r="I112" i="1" s="1"/>
  <c r="R31" i="1"/>
  <c r="S32" i="1"/>
  <c r="T34" i="1"/>
  <c r="Q32" i="1"/>
  <c r="O31" i="1"/>
  <c r="R34" i="1"/>
  <c r="T31" i="1"/>
  <c r="M31" i="1"/>
  <c r="I111" i="1" s="1"/>
  <c r="O32" i="1"/>
  <c r="S31" i="1"/>
  <c r="T33" i="1"/>
  <c r="N34" i="1"/>
  <c r="O34" i="1"/>
  <c r="P31" i="1"/>
  <c r="U33" i="1"/>
  <c r="Q31" i="1"/>
  <c r="U32" i="1"/>
  <c r="U95" i="1"/>
  <c r="Q95" i="1"/>
  <c r="M95" i="1"/>
  <c r="I127" i="1" s="1"/>
  <c r="R95" i="1"/>
  <c r="N95" i="1"/>
  <c r="D308" i="1"/>
  <c r="D303" i="1"/>
  <c r="C303" i="1"/>
  <c r="B303" i="1"/>
  <c r="S7" i="1"/>
  <c r="P8" i="1"/>
  <c r="M8" i="1"/>
  <c r="I106" i="1" s="1"/>
  <c r="N9" i="1"/>
  <c r="O8" i="1"/>
  <c r="U9" i="1"/>
  <c r="S9" i="1"/>
  <c r="Q7" i="1"/>
  <c r="R9" i="1"/>
  <c r="T8" i="1"/>
  <c r="O9" i="1"/>
  <c r="O7" i="1"/>
  <c r="N8" i="1"/>
  <c r="T7" i="1"/>
  <c r="M9" i="1"/>
  <c r="A300" i="1" s="1"/>
  <c r="F300" i="1" s="1"/>
  <c r="R7" i="1"/>
  <c r="N7" i="1"/>
  <c r="P9" i="1"/>
  <c r="U8" i="1"/>
  <c r="S8" i="1"/>
  <c r="P7" i="1"/>
  <c r="Q8" i="1"/>
  <c r="R8" i="1"/>
  <c r="M7" i="1"/>
  <c r="I105" i="1" s="1"/>
  <c r="Q9" i="1"/>
  <c r="T9" i="1"/>
  <c r="N10" i="1"/>
  <c r="T10" i="1"/>
  <c r="M10" i="1"/>
  <c r="O10" i="1"/>
  <c r="Q10" i="1"/>
  <c r="U10" i="1"/>
  <c r="P10" i="1"/>
  <c r="S10" i="1"/>
  <c r="R10" i="1"/>
  <c r="C300" i="1"/>
  <c r="B300" i="1"/>
  <c r="D300" i="1"/>
  <c r="M88" i="1"/>
  <c r="I126" i="1" s="1"/>
  <c r="O18" i="1"/>
  <c r="U17" i="1"/>
  <c r="O16" i="1"/>
  <c r="U15" i="1"/>
  <c r="D301" i="1"/>
  <c r="C301" i="1"/>
  <c r="B301" i="1"/>
  <c r="P17" i="1"/>
  <c r="P15" i="1"/>
  <c r="U18" i="1"/>
  <c r="O17" i="1"/>
  <c r="U16" i="1"/>
  <c r="O15" i="1"/>
  <c r="T18" i="1"/>
  <c r="N17" i="1"/>
  <c r="T16" i="1"/>
  <c r="N15" i="1"/>
  <c r="R18" i="1"/>
  <c r="R16" i="1"/>
  <c r="Q18" i="1"/>
  <c r="P18" i="1"/>
  <c r="P16" i="1"/>
  <c r="T17" i="1"/>
  <c r="S16" i="1"/>
  <c r="T15" i="1"/>
  <c r="N18" i="1"/>
  <c r="M18" i="1"/>
  <c r="S18" i="1"/>
  <c r="S17" i="1"/>
  <c r="Q16" i="1"/>
  <c r="S15" i="1"/>
  <c r="R17" i="1"/>
  <c r="N16" i="1"/>
  <c r="Q17" i="1"/>
  <c r="M17" i="1"/>
  <c r="A301" i="1" s="1"/>
  <c r="F301" i="1" s="1"/>
  <c r="R15" i="1"/>
  <c r="Q15" i="1"/>
  <c r="M15" i="1"/>
  <c r="I107" i="1" s="1"/>
  <c r="M16" i="1"/>
  <c r="I108" i="1" s="1"/>
  <c r="P88" i="1"/>
  <c r="N39" i="1"/>
  <c r="T39" i="1"/>
  <c r="N88" i="1"/>
  <c r="N41" i="1"/>
  <c r="T88" i="1"/>
  <c r="U41" i="1"/>
  <c r="S41" i="1"/>
  <c r="O39" i="1"/>
  <c r="Q39" i="1"/>
  <c r="Q88" i="1"/>
  <c r="M39" i="1"/>
  <c r="I113" i="1" s="1"/>
  <c r="U88" i="1"/>
  <c r="O41" i="1"/>
  <c r="R39" i="1"/>
  <c r="B304" i="1"/>
  <c r="Q41" i="1"/>
  <c r="S39" i="1"/>
  <c r="R88" i="1"/>
  <c r="O88" i="1"/>
  <c r="D304" i="1"/>
  <c r="R41" i="1"/>
  <c r="P39" i="1"/>
  <c r="O26" i="1"/>
  <c r="U25" i="1"/>
  <c r="O24" i="1"/>
  <c r="U23" i="1"/>
  <c r="T25" i="1"/>
  <c r="N24" i="1"/>
  <c r="P25" i="1"/>
  <c r="P23" i="1"/>
  <c r="U26" i="1"/>
  <c r="O25" i="1"/>
  <c r="U24" i="1"/>
  <c r="O23" i="1"/>
  <c r="T26" i="1"/>
  <c r="N25" i="1"/>
  <c r="T24" i="1"/>
  <c r="N23" i="1"/>
  <c r="D302" i="1"/>
  <c r="C302" i="1"/>
  <c r="R26" i="1"/>
  <c r="R24" i="1"/>
  <c r="Q26" i="1"/>
  <c r="B302" i="1"/>
  <c r="Q24" i="1"/>
  <c r="P26" i="1"/>
  <c r="P24" i="1"/>
  <c r="N26" i="1"/>
  <c r="T23" i="1"/>
  <c r="S24" i="1"/>
  <c r="M24" i="1"/>
  <c r="I110" i="1" s="1"/>
  <c r="S23" i="1"/>
  <c r="R23" i="1"/>
  <c r="Q23" i="1"/>
  <c r="S25" i="1"/>
  <c r="M23" i="1"/>
  <c r="I109" i="1" s="1"/>
  <c r="R25" i="1"/>
  <c r="S26" i="1"/>
  <c r="Q25" i="1"/>
  <c r="M26" i="1"/>
  <c r="M25" i="1"/>
  <c r="A302" i="1" s="1"/>
  <c r="F302" i="1" s="1"/>
  <c r="U39" i="1"/>
  <c r="M41" i="1"/>
  <c r="A304" i="1" s="1"/>
  <c r="F304" i="1" s="1"/>
  <c r="P41" i="1"/>
  <c r="C304" i="1"/>
  <c r="E303" i="1" l="1"/>
  <c r="E302" i="1"/>
  <c r="E301" i="1"/>
  <c r="E304" i="1"/>
  <c r="E306" i="1"/>
  <c r="E308" i="1"/>
  <c r="E300" i="1"/>
  <c r="E305" i="1"/>
  <c r="E307" i="1"/>
  <c r="E310" i="1"/>
  <c r="E309" i="1"/>
  <c r="E311" i="1"/>
  <c r="I132" i="1" l="1"/>
  <c r="I136" i="1"/>
  <c r="I130" i="1"/>
  <c r="I135" i="1"/>
  <c r="I129" i="1"/>
  <c r="I134" i="1"/>
  <c r="I133" i="1"/>
  <c r="I131" i="1"/>
</calcChain>
</file>

<file path=xl/sharedStrings.xml><?xml version="1.0" encoding="utf-8"?>
<sst xmlns="http://schemas.openxmlformats.org/spreadsheetml/2006/main" count="943" uniqueCount="167">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</sst>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5" activePane="bottomLeft" state="frozen"/>
      <selection pane="bottomLeft" activeCell="G8" sqref="G8"/>
    </sheetView>
  </sheetViews>
  <sheetFormatPr defaultColWidth="8.7109375" defaultRowHeight="15" x14ac:dyDescent="0.25"/>
  <cols>
    <col min="1" max="1" width="3.28515625" customWidth="1"/>
    <col min="2" max="2" width="7.5703125" customWidth="1"/>
    <col min="3" max="3" width="16.85546875" customWidth="1"/>
    <col min="4" max="4" width="8.140625" customWidth="1"/>
    <col min="5" max="5" width="11.42578125" customWidth="1"/>
    <col min="6" max="6" width="8.5703125" customWidth="1"/>
    <col min="7" max="7" width="18.140625" customWidth="1"/>
    <col min="8" max="8" width="8" customWidth="1"/>
    <col min="9" max="9" width="23" customWidth="1"/>
    <col min="10" max="10" width="12" customWidth="1"/>
    <col min="11" max="11" width="17.5703125" customWidth="1"/>
    <col min="12" max="12" width="1.570312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M1" s="54" t="s">
        <v>1</v>
      </c>
      <c r="N1" s="54"/>
      <c r="O1" s="54"/>
      <c r="P1" s="54"/>
      <c r="Q1" s="54"/>
      <c r="R1" s="54"/>
      <c r="S1" s="54"/>
      <c r="T1" s="54"/>
      <c r="U1" s="54"/>
    </row>
    <row r="2" spans="1:32" ht="24" customHeight="1" x14ac:dyDescent="0.25">
      <c r="A2" s="55" t="s">
        <v>2</v>
      </c>
      <c r="B2" s="55"/>
      <c r="C2" s="55"/>
      <c r="D2" s="56" t="s">
        <v>166</v>
      </c>
      <c r="E2" s="56"/>
      <c r="F2" s="56"/>
      <c r="G2" s="56"/>
      <c r="H2" s="56"/>
      <c r="I2" s="56"/>
      <c r="J2" s="56"/>
      <c r="K2" s="56"/>
      <c r="M2" s="57" t="s">
        <v>3</v>
      </c>
      <c r="N2" s="57"/>
      <c r="O2" s="57"/>
      <c r="P2" s="57"/>
      <c r="Q2" s="57"/>
      <c r="R2" s="57"/>
      <c r="S2" s="57"/>
      <c r="T2" s="57"/>
      <c r="U2" s="57"/>
    </row>
    <row r="3" spans="1:32" ht="18" customHeight="1" x14ac:dyDescent="0.25">
      <c r="A3" s="58" t="s">
        <v>4</v>
      </c>
      <c r="B3" s="58"/>
      <c r="C3" s="58"/>
      <c r="D3" s="58"/>
      <c r="E3" s="58"/>
      <c r="F3" s="58"/>
      <c r="G3" s="58"/>
      <c r="H3" s="58"/>
      <c r="I3" s="58"/>
      <c r="J3" s="58"/>
      <c r="K3" s="58"/>
      <c r="M3" s="59" t="s">
        <v>5</v>
      </c>
      <c r="N3" s="59"/>
      <c r="O3" s="59"/>
      <c r="P3" s="59"/>
      <c r="Q3" s="59"/>
      <c r="R3" s="59"/>
      <c r="S3" s="59"/>
      <c r="T3" s="59"/>
      <c r="U3" s="59"/>
    </row>
    <row r="4" spans="1:32" ht="4.5" customHeight="1" x14ac:dyDescent="0.25"/>
    <row r="5" spans="1:32" ht="18.75" customHeight="1" x14ac:dyDescent="0.25">
      <c r="A5" s="60" t="s">
        <v>6</v>
      </c>
      <c r="B5" s="60"/>
      <c r="C5" s="60"/>
      <c r="D5" s="60"/>
      <c r="E5" s="60"/>
      <c r="F5" s="60"/>
      <c r="G5" s="60"/>
      <c r="H5" s="60"/>
      <c r="I5" s="60"/>
      <c r="J5" s="60"/>
      <c r="K5" s="60"/>
      <c r="M5" s="61" t="s">
        <v>7</v>
      </c>
      <c r="N5" s="61"/>
      <c r="O5" s="61"/>
      <c r="P5" s="61"/>
      <c r="Q5" s="61"/>
      <c r="R5" s="61"/>
      <c r="S5" s="61"/>
      <c r="T5" s="61"/>
      <c r="U5" s="61"/>
    </row>
    <row r="6" spans="1:32" ht="15.7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25">
      <c r="A7" s="3">
        <v>1</v>
      </c>
      <c r="B7" s="3" t="s">
        <v>27</v>
      </c>
      <c r="C7" s="4" t="s">
        <v>28</v>
      </c>
      <c r="D7" s="5">
        <v>2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2</v>
      </c>
      <c r="P7" s="3">
        <f>IF(AND(ISNUMBER(D7),ISNUMBER(D8),ISNUMBER(D9),ISNUMBER(D10),ISNUMBER(D11),ISNUMBER(D12)),IF(AF7=1,Z7,IF(AF8=1,Z8,IF(AF9=1,Z9,IF(AF10=1,Z10,"")))),"")</f>
        <v>1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5</v>
      </c>
      <c r="S7" s="3">
        <f>IF(AND(ISNUMBER(D7),ISNUMBER(D8),ISNUMBER(D9),ISNUMBER(D10),ISNUMBER(D11),ISNUMBER(D12)),IF(AF7=1,AC7,IF(AF8=1,AC8,IF(AF9=1,AC9,IF(AF10=1,AC10,"")))),"")</f>
        <v>1</v>
      </c>
      <c r="T7" s="3">
        <f>IF(AND(ISNUMBER(D7),ISNUMBER(D8),ISNUMBER(D9),ISNUMBER(D10),ISNUMBER(D11),ISNUMBER(D12)),IF(AF7=1,AD7,IF(AF8=1,AD8,IF(AF9=1,AD9,IF(AF10=1,AD10,"")))),"")</f>
        <v>4</v>
      </c>
      <c r="U7" s="3">
        <f>IF(AND(ISNUMBER(D7),ISNUMBER(D8),ISNUMBER(D9),ISNUMBER(D10),ISNUMBER(D11),ISNUMBER(D12)),IF(AF7=1,AE7,IF(AF8=1,AE8,IF(AF9=1,AE9,IF(AF10=1,AE10,"")))),"")</f>
        <v>7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2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1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5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1</v>
      </c>
      <c r="AD7">
        <f>AB7-AC7</f>
        <v>4</v>
      </c>
      <c r="AE7">
        <f>3*Y7+Z7</f>
        <v>7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 x14ac:dyDescent="0.25">
      <c r="A8" s="7">
        <v>2</v>
      </c>
      <c r="B8" s="7" t="s">
        <v>27</v>
      </c>
      <c r="C8" s="8" t="s">
        <v>35</v>
      </c>
      <c r="D8" s="5">
        <v>2</v>
      </c>
      <c r="E8" s="7" t="s">
        <v>29</v>
      </c>
      <c r="F8" s="5">
        <v>1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Sør-Korea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2</v>
      </c>
      <c r="P8" s="3">
        <f>IF(AND(ISNUMBER(D7),ISNUMBER(D8),ISNUMBER(D9),ISNUMBER(D10),ISNUMBER(D11),ISNUMBER(D12)),IF(AF7=2,Z7,IF(AF8=2,Z8,IF(AF9=2,Z9,IF(AF10=2,Z10,"")))),"")</f>
        <v>1</v>
      </c>
      <c r="Q8" s="3">
        <f>IF(AND(ISNUMBER(D7),ISNUMBER(D8),ISNUMBER(D9),ISNUMBER(D10),ISNUMBER(D11),ISNUMBER(D12)),IF(AF7=2,AA7,IF(AF8=2,AA8,IF(AF9=2,AA9,IF(AF10=2,AA10,"")))),"")</f>
        <v>0</v>
      </c>
      <c r="R8" s="3">
        <f>IF(AND(ISNUMBER(D7),ISNUMBER(D8),ISNUMBER(D9),ISNUMBER(D10),ISNUMBER(D11),ISNUMBER(D12)),IF(AF7=2,AB7,IF(AF8=2,AB8,IF(AF9=2,AB9,IF(AF10=2,AB10,"")))),"")</f>
        <v>5</v>
      </c>
      <c r="S8" s="3">
        <f>IF(AND(ISNUMBER(D7),ISNUMBER(D8),ISNUMBER(D9),ISNUMBER(D10),ISNUMBER(D11),ISNUMBER(D12)),IF(AF7=2,AC7,IF(AF8=2,AC8,IF(AF9=2,AC9,IF(AF10=2,AC10,"")))),"")</f>
        <v>2</v>
      </c>
      <c r="T8" s="3">
        <f>IF(AND(ISNUMBER(D7),ISNUMBER(D8),ISNUMBER(D9),ISNUMBER(D10),ISNUMBER(D11),ISNUMBER(D12)),IF(AF7=2,AD7,IF(AF8=2,AD8,IF(AF9=2,AD9,IF(AF10=2,AD10,"")))),"")</f>
        <v>3</v>
      </c>
      <c r="U8" s="3">
        <f>IF(AND(ISNUMBER(D7),ISNUMBER(D8),ISNUMBER(D9),ISNUMBER(D10),ISNUMBER(D11),ISNUMBER(D12)),IF(AF7=2,AE7,IF(AF8=2,AE8,IF(AF9=2,AE9,IF(AF10=2,AE10,"")))),"")</f>
        <v>7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1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2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1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5</v>
      </c>
      <c r="AD8">
        <f>AB8-AC8</f>
        <v>-4</v>
      </c>
      <c r="AE8">
        <f>3*Y8+Z8</f>
        <v>1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4</v>
      </c>
    </row>
    <row r="9" spans="1:32" ht="16.5" customHeight="1" x14ac:dyDescent="0.25">
      <c r="A9" s="3">
        <v>3</v>
      </c>
      <c r="B9" s="3" t="s">
        <v>27</v>
      </c>
      <c r="C9" s="4" t="s">
        <v>36</v>
      </c>
      <c r="D9" s="5">
        <v>1</v>
      </c>
      <c r="E9" s="3" t="s">
        <v>29</v>
      </c>
      <c r="F9" s="5">
        <v>1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Tsjekkia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0</v>
      </c>
      <c r="P9" s="3">
        <f>IF(AND(ISNUMBER(D7),ISNUMBER(D8),ISNUMBER(D9),ISNUMBER(D10),ISNUMBER(D11),ISNUMBER(D12)),IF(AF7=3,Z7,IF(AF8=3,Z8,IF(AF9=3,Z9,IF(AF10=3,Z10,"")))),"")</f>
        <v>1</v>
      </c>
      <c r="Q9" s="3">
        <f>IF(AND(ISNUMBER(D7),ISNUMBER(D8),ISNUMBER(D9),ISNUMBER(D10),ISNUMBER(D11),ISNUMBER(D12)),IF(AF7=3,AA7,IF(AF8=3,AA8,IF(AF9=3,AA9,IF(AF10=3,AA10,"")))),"")</f>
        <v>2</v>
      </c>
      <c r="R9" s="3">
        <f>IF(AND(ISNUMBER(D7),ISNUMBER(D8),ISNUMBER(D9),ISNUMBER(D10),ISNUMBER(D11),ISNUMBER(D12)),IF(AF7=3,AB7,IF(AF8=3,AB8,IF(AF9=3,AB9,IF(AF10=3,AB10,"")))),"")</f>
        <v>2</v>
      </c>
      <c r="S9" s="3">
        <f>IF(AND(ISNUMBER(D7),ISNUMBER(D8),ISNUMBER(D9),ISNUMBER(D10),ISNUMBER(D11),ISNUMBER(D12)),IF(AF7=3,AC7,IF(AF8=3,AC8,IF(AF9=3,AC9,IF(AF10=3,AC10,"")))),"")</f>
        <v>5</v>
      </c>
      <c r="T9" s="3">
        <f>IF(AND(ISNUMBER(D7),ISNUMBER(D8),ISNUMBER(D9),ISNUMBER(D10),ISNUMBER(D11),ISNUMBER(D12)),IF(AF7=3,AD7,IF(AF8=3,AD8,IF(AF9=3,AD9,IF(AF10=3,AD10,"")))),"")</f>
        <v>-3</v>
      </c>
      <c r="U9" s="3">
        <f>IF(AND(ISNUMBER(D7),ISNUMBER(D8),ISNUMBER(D9),ISNUMBER(D10),ISNUMBER(D11),ISNUMBER(D12)),IF(AF7=3,AE7,IF(AF8=3,AE8,IF(AF9=3,AE9,IF(AF10=3,AE10,"")))),"")</f>
        <v>1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2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1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0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5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2</v>
      </c>
      <c r="AD9">
        <f>AB9-AC9</f>
        <v>3</v>
      </c>
      <c r="AE9">
        <f>3*Y9+Z9</f>
        <v>7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2</v>
      </c>
    </row>
    <row r="10" spans="1:32" ht="16.5" customHeight="1" x14ac:dyDescent="0.25">
      <c r="A10" s="7">
        <v>4</v>
      </c>
      <c r="B10" s="7" t="s">
        <v>27</v>
      </c>
      <c r="C10" s="8" t="s">
        <v>28</v>
      </c>
      <c r="D10" s="5">
        <v>1</v>
      </c>
      <c r="E10" s="7" t="s">
        <v>29</v>
      </c>
      <c r="F10" s="5">
        <v>1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Sør-Afrika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1</v>
      </c>
      <c r="Q10" s="3">
        <f>IF(AND(ISNUMBER(D7),ISNUMBER(D8),ISNUMBER(D9),ISNUMBER(D10),ISNUMBER(D11),ISNUMBER(D12)),IF(AF7=4,AA7,IF(AF8=4,AA8,IF(AF9=4,AA9,IF(AF10=4,AA10,"")))),"")</f>
        <v>2</v>
      </c>
      <c r="R10" s="3">
        <f>IF(AND(ISNUMBER(D7),ISNUMBER(D8),ISNUMBER(D9),ISNUMBER(D10),ISNUMBER(D11),ISNUMBER(D12)),IF(AF7=4,AB7,IF(AF8=4,AB8,IF(AF9=4,AB9,IF(AF10=4,AB10,"")))),"")</f>
        <v>1</v>
      </c>
      <c r="S10" s="3">
        <f>IF(AND(ISNUMBER(D7),ISNUMBER(D8),ISNUMBER(D9),ISNUMBER(D10),ISNUMBER(D11),ISNUMBER(D12)),IF(AF7=4,AC7,IF(AF8=4,AC8,IF(AF9=4,AC9,IF(AF10=4,AC10,"")))),"")</f>
        <v>5</v>
      </c>
      <c r="T10" s="3">
        <f>IF(AND(ISNUMBER(D7),ISNUMBER(D8),ISNUMBER(D9),ISNUMBER(D10),ISNUMBER(D11),ISNUMBER(D12)),IF(AF7=4,AD7,IF(AF8=4,AD8,IF(AF9=4,AD9,IF(AF10=4,AD10,"")))),"")</f>
        <v>-4</v>
      </c>
      <c r="U10" s="3">
        <f>IF(AND(ISNUMBER(D7),ISNUMBER(D8),ISNUMBER(D9),ISNUMBER(D10),ISNUMBER(D11),ISNUMBER(D12)),IF(AF7=4,AE7,IF(AF8=4,AE8,IF(AF9=4,AE9,IF(AF10=4,AE10,"")))),"")</f>
        <v>1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0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1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2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2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5</v>
      </c>
      <c r="AD10">
        <f>AB10-AC10</f>
        <v>-3</v>
      </c>
      <c r="AE10">
        <f>3*Y10+Z10</f>
        <v>1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3</v>
      </c>
    </row>
    <row r="11" spans="1:32" ht="16.5" customHeight="1" x14ac:dyDescent="0.25">
      <c r="A11" s="3">
        <v>5</v>
      </c>
      <c r="B11" s="3" t="s">
        <v>27</v>
      </c>
      <c r="C11" s="4" t="s">
        <v>28</v>
      </c>
      <c r="D11" s="5">
        <v>2</v>
      </c>
      <c r="E11" s="3" t="s">
        <v>29</v>
      </c>
      <c r="F11" s="5">
        <v>0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25">
      <c r="A12" s="7">
        <v>6</v>
      </c>
      <c r="B12" s="7" t="s">
        <v>27</v>
      </c>
      <c r="C12" s="8" t="s">
        <v>30</v>
      </c>
      <c r="D12" s="5">
        <v>0</v>
      </c>
      <c r="E12" s="7" t="s">
        <v>29</v>
      </c>
      <c r="F12" s="5">
        <v>2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25">
      <c r="A13" s="60" t="s">
        <v>48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M13" s="61" t="s">
        <v>49</v>
      </c>
      <c r="N13" s="61"/>
      <c r="O13" s="61"/>
      <c r="P13" s="61"/>
      <c r="Q13" s="61"/>
      <c r="R13" s="61"/>
      <c r="S13" s="61"/>
      <c r="T13" s="61"/>
      <c r="U13" s="61"/>
    </row>
    <row r="14" spans="1:32" ht="15.75" customHeight="1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25">
      <c r="A15" s="3">
        <v>7</v>
      </c>
      <c r="B15" s="3" t="s">
        <v>50</v>
      </c>
      <c r="C15" s="4" t="s">
        <v>51</v>
      </c>
      <c r="D15" s="5">
        <v>0</v>
      </c>
      <c r="E15" s="3" t="s">
        <v>29</v>
      </c>
      <c r="F15" s="5">
        <v>2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2</v>
      </c>
      <c r="P15" s="3">
        <f>IF(AND(ISNUMBER(D15),ISNUMBER(D16),ISNUMBER(D17),ISNUMBER(D18),ISNUMBER(D19),ISNUMBER(D20)),IF(AF15=1,Z15,IF(AF16=1,Z16,IF(AF17=1,Z17,IF(AF18=1,Z18,"")))),"")</f>
        <v>1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5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4</v>
      </c>
      <c r="U15" s="3">
        <f>IF(AND(ISNUMBER(D15),ISNUMBER(D16),ISNUMBER(D17),ISNUMBER(D18),ISNUMBER(D19),ISNUMBER(D20)),IF(AF15=1,AE15,IF(AF16=1,AE16,IF(AF17=1,AE17,IF(AF18=1,AE18,"")))),"")</f>
        <v>7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1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1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2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3</v>
      </c>
      <c r="AD15">
        <f>AB15-AC15</f>
        <v>-1</v>
      </c>
      <c r="AE15">
        <f>3*Y15+Z15</f>
        <v>4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3</v>
      </c>
    </row>
    <row r="16" spans="1:32" ht="16.5" customHeight="1" x14ac:dyDescent="0.25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3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Bosnia-Hercegovina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2</v>
      </c>
      <c r="P16" s="3">
        <f>IF(AND(ISNUMBER(D15),ISNUMBER(D16),ISNUMBER(D17),ISNUMBER(D18),ISNUMBER(D19),ISNUMBER(D20)),IF(AF15=2,Z15,IF(AF16=2,Z16,IF(AF17=2,Z17,IF(AF18=2,Z18,"")))),"")</f>
        <v>0</v>
      </c>
      <c r="Q16" s="3">
        <f>IF(AND(ISNUMBER(D15),ISNUMBER(D16),ISNUMBER(D17),ISNUMBER(D18),ISNUMBER(D19),ISNUMBER(D20)),IF(AF15=2,AA15,IF(AF16=2,AA16,IF(AF17=2,AA17,IF(AF18=2,AA18,"")))),"")</f>
        <v>1</v>
      </c>
      <c r="R16" s="3">
        <f>IF(AND(ISNUMBER(D15),ISNUMBER(D16),ISNUMBER(D17),ISNUMBER(D18),ISNUMBER(D19),ISNUMBER(D20)),IF(AF15=2,AB15,IF(AF16=2,AB16,IF(AF17=2,AB17,IF(AF18=2,AB18,"")))),"")</f>
        <v>4</v>
      </c>
      <c r="S16" s="3">
        <f>IF(AND(ISNUMBER(D15),ISNUMBER(D16),ISNUMBER(D17),ISNUMBER(D18),ISNUMBER(D19),ISNUMBER(D20)),IF(AF15=2,AC15,IF(AF16=2,AC16,IF(AF17=2,AC17,IF(AF18=2,AC18,"")))),"")</f>
        <v>2</v>
      </c>
      <c r="T16" s="3">
        <f>IF(AND(ISNUMBER(D15),ISNUMBER(D16),ISNUMBER(D17),ISNUMBER(D18),ISNUMBER(D19),ISNUMBER(D20)),IF(AF15=2,AD15,IF(AF16=2,AD16,IF(AF17=2,AD17,IF(AF18=2,AD18,"")))),"")</f>
        <v>2</v>
      </c>
      <c r="U16" s="3">
        <f>IF(AND(ISNUMBER(D15),ISNUMBER(D16),ISNUMBER(D17),ISNUMBER(D18),ISNUMBER(D19),ISNUMBER(D20)),IF(AF15=2,AE15,IF(AF16=2,AE16,IF(AF17=2,AE17,IF(AF18=2,AE18,"")))),"")</f>
        <v>6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2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0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1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4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2</v>
      </c>
      <c r="AD16">
        <f>AB16-AC16</f>
        <v>2</v>
      </c>
      <c r="AE16">
        <f>3*Y16+Z16</f>
        <v>6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2</v>
      </c>
    </row>
    <row r="17" spans="1:32" ht="16.5" customHeight="1" x14ac:dyDescent="0.25">
      <c r="A17" s="3">
        <v>9</v>
      </c>
      <c r="B17" s="3" t="s">
        <v>50</v>
      </c>
      <c r="C17" s="4" t="s">
        <v>55</v>
      </c>
      <c r="D17" s="5">
        <v>1</v>
      </c>
      <c r="E17" s="3" t="s">
        <v>29</v>
      </c>
      <c r="F17" s="5">
        <v>0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Canada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1</v>
      </c>
      <c r="Q17" s="3">
        <f>IF(AND(ISNUMBER(D15),ISNUMBER(D16),ISNUMBER(D17),ISNUMBER(D18),ISNUMBER(D19),ISNUMBER(D20)),IF(AF15=3,AA15,IF(AF16=3,AA16,IF(AF17=3,AA17,IF(AF18=3,AA18,"")))),"")</f>
        <v>1</v>
      </c>
      <c r="R17" s="3">
        <f>IF(AND(ISNUMBER(D15),ISNUMBER(D16),ISNUMBER(D17),ISNUMBER(D18),ISNUMBER(D19),ISNUMBER(D20)),IF(AF15=3,AB15,IF(AF16=3,AB16,IF(AF17=3,AB17,IF(AF18=3,AB18,"")))),"")</f>
        <v>2</v>
      </c>
      <c r="S17" s="3">
        <f>IF(AND(ISNUMBER(D15),ISNUMBER(D16),ISNUMBER(D17),ISNUMBER(D18),ISNUMBER(D19),ISNUMBER(D20)),IF(AF15=3,AC15,IF(AF16=3,AC16,IF(AF17=3,AC17,IF(AF18=3,AC18,"")))),"")</f>
        <v>3</v>
      </c>
      <c r="T17" s="3">
        <f>IF(AND(ISNUMBER(D15),ISNUMBER(D16),ISNUMBER(D17),ISNUMBER(D18),ISNUMBER(D19),ISNUMBER(D20)),IF(AF15=3,AD15,IF(AF16=3,AD16,IF(AF17=3,AD17,IF(AF18=3,AD18,"")))),"")</f>
        <v>-1</v>
      </c>
      <c r="U17" s="3">
        <f>IF(AND(ISNUMBER(D15),ISNUMBER(D16),ISNUMBER(D17),ISNUMBER(D18),ISNUMBER(D19),ISNUMBER(D20)),IF(AF15=3,AE15,IF(AF16=3,AE16,IF(AF17=3,AE17,IF(AF18=3,AE18,"")))),"")</f>
        <v>4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0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3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1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6</v>
      </c>
      <c r="AD17">
        <f>AB17-AC17</f>
        <v>-5</v>
      </c>
      <c r="AE17">
        <f>3*Y17+Z17</f>
        <v>0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 x14ac:dyDescent="0.25">
      <c r="A18" s="7">
        <v>10</v>
      </c>
      <c r="B18" s="7" t="s">
        <v>50</v>
      </c>
      <c r="C18" s="8" t="s">
        <v>51</v>
      </c>
      <c r="D18" s="5">
        <v>1</v>
      </c>
      <c r="E18" s="7" t="s">
        <v>29</v>
      </c>
      <c r="F18" s="5">
        <v>0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0</v>
      </c>
      <c r="Q18" s="3">
        <f>IF(AND(ISNUMBER(D15),ISNUMBER(D16),ISNUMBER(D17),ISNUMBER(D18),ISNUMBER(D19),ISNUMBER(D20)),IF(AF15=4,AA15,IF(AF16=4,AA16,IF(AF17=4,AA17,IF(AF18=4,AA18,"")))),"")</f>
        <v>3</v>
      </c>
      <c r="R18" s="3">
        <f>IF(AND(ISNUMBER(D15),ISNUMBER(D16),ISNUMBER(D17),ISNUMBER(D18),ISNUMBER(D19),ISNUMBER(D20)),IF(AF15=4,AB15,IF(AF16=4,AB16,IF(AF17=4,AB17,IF(AF18=4,AB18,"")))),"")</f>
        <v>1</v>
      </c>
      <c r="S18" s="3">
        <f>IF(AND(ISNUMBER(D15),ISNUMBER(D16),ISNUMBER(D17),ISNUMBER(D18),ISNUMBER(D19),ISNUMBER(D20)),IF(AF15=4,AC15,IF(AF16=4,AC16,IF(AF17=4,AC17,IF(AF18=4,AC18,"")))),"")</f>
        <v>6</v>
      </c>
      <c r="T18" s="3">
        <f>IF(AND(ISNUMBER(D15),ISNUMBER(D16),ISNUMBER(D17),ISNUMBER(D18),ISNUMBER(D19),ISNUMBER(D20)),IF(AF15=4,AD15,IF(AF16=4,AD16,IF(AF17=4,AD17,IF(AF18=4,AD18,"")))),"")</f>
        <v>-5</v>
      </c>
      <c r="U18" s="3">
        <f>IF(AND(ISNUMBER(D15),ISNUMBER(D16),ISNUMBER(D17),ISNUMBER(D18),ISNUMBER(D19),ISNUMBER(D20)),IF(AF15=4,AE15,IF(AF16=4,AE16,IF(AF17=4,AE17,IF(AF18=4,AE18,"")))),"")</f>
        <v>0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2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1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5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1</v>
      </c>
      <c r="AD18">
        <f>AB18-AC18</f>
        <v>4</v>
      </c>
      <c r="AE18">
        <f>3*Y18+Z18</f>
        <v>7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 x14ac:dyDescent="0.25">
      <c r="A19" s="3">
        <v>11</v>
      </c>
      <c r="B19" s="3" t="s">
        <v>50</v>
      </c>
      <c r="C19" s="4" t="s">
        <v>55</v>
      </c>
      <c r="D19" s="5">
        <v>1</v>
      </c>
      <c r="E19" s="3" t="s">
        <v>29</v>
      </c>
      <c r="F19" s="5">
        <v>1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25">
      <c r="A20" s="7">
        <v>12</v>
      </c>
      <c r="B20" s="7" t="s">
        <v>50</v>
      </c>
      <c r="C20" s="8" t="s">
        <v>52</v>
      </c>
      <c r="D20" s="5">
        <v>2</v>
      </c>
      <c r="E20" s="7" t="s">
        <v>29</v>
      </c>
      <c r="F20" s="5">
        <v>1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25">
      <c r="A21" s="60" t="s">
        <v>63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M21" s="61" t="s">
        <v>64</v>
      </c>
      <c r="N21" s="61"/>
      <c r="O21" s="61"/>
      <c r="P21" s="61"/>
      <c r="Q21" s="61"/>
      <c r="R21" s="61"/>
      <c r="S21" s="61"/>
      <c r="T21" s="61"/>
      <c r="U21" s="61"/>
    </row>
    <row r="22" spans="1:32" ht="15.75" customHeight="1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25">
      <c r="A23" s="3">
        <v>13</v>
      </c>
      <c r="B23" s="3" t="s">
        <v>65</v>
      </c>
      <c r="C23" s="4" t="s">
        <v>66</v>
      </c>
      <c r="D23" s="5">
        <v>2</v>
      </c>
      <c r="E23" s="3" t="s">
        <v>29</v>
      </c>
      <c r="F23" s="5">
        <v>2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2</v>
      </c>
      <c r="P23" s="3">
        <f>IF(AND(ISNUMBER(D23),ISNUMBER(D24),ISNUMBER(D25),ISNUMBER(D26),ISNUMBER(D27),ISNUMBER(D28)),IF(AF23=1,Z23,IF(AF24=1,Z24,IF(AF25=1,Z25,IF(AF26=1,Z26,"")))),"")</f>
        <v>1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7</v>
      </c>
      <c r="S23" s="3">
        <f>IF(AND(ISNUMBER(D23),ISNUMBER(D24),ISNUMBER(D25),ISNUMBER(D26),ISNUMBER(D27),ISNUMBER(D28)),IF(AF23=1,AC23,IF(AF24=1,AC24,IF(AF25=1,AC25,IF(AF26=1,AC26,"")))),"")</f>
        <v>2</v>
      </c>
      <c r="T23" s="3">
        <f>IF(AND(ISNUMBER(D23),ISNUMBER(D24),ISNUMBER(D25),ISNUMBER(D26),ISNUMBER(D27),ISNUMBER(D28)),IF(AF23=1,AD23,IF(AF24=1,AD24,IF(AF25=1,AD25,IF(AF26=1,AD26,"")))),"")</f>
        <v>5</v>
      </c>
      <c r="U23" s="3">
        <f>IF(AND(ISNUMBER(D23),ISNUMBER(D24),ISNUMBER(D25),ISNUMBER(D26),ISNUMBER(D27),ISNUMBER(D28)),IF(AF23=1,AE23,IF(AF24=1,AE24,IF(AF25=1,AE25,IF(AF26=1,AE26,"")))),"")</f>
        <v>7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2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1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7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2</v>
      </c>
      <c r="AD23">
        <f>AB23-AC23</f>
        <v>5</v>
      </c>
      <c r="AE23">
        <f>3*Y23+Z23</f>
        <v>7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 x14ac:dyDescent="0.25">
      <c r="A24" s="7">
        <v>14</v>
      </c>
      <c r="B24" s="7" t="s">
        <v>65</v>
      </c>
      <c r="C24" s="8" t="s">
        <v>70</v>
      </c>
      <c r="D24" s="5">
        <v>0</v>
      </c>
      <c r="E24" s="7" t="s">
        <v>29</v>
      </c>
      <c r="F24" s="5">
        <v>1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Marokko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2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0</v>
      </c>
      <c r="R24" s="3">
        <f>IF(AND(ISNUMBER(D23),ISNUMBER(D24),ISNUMBER(D25),ISNUMBER(D26),ISNUMBER(D27),ISNUMBER(D28)),IF(AF23=2,AB23,IF(AF24=2,AB24,IF(AF25=2,AB25,IF(AF26=2,AB26,"")))),"")</f>
        <v>6</v>
      </c>
      <c r="S24" s="3">
        <f>IF(AND(ISNUMBER(D23),ISNUMBER(D24),ISNUMBER(D25),ISNUMBER(D26),ISNUMBER(D27),ISNUMBER(D28)),IF(AF23=2,AC23,IF(AF24=2,AC24,IF(AF25=2,AC25,IF(AF26=2,AC26,"")))),"")</f>
        <v>2</v>
      </c>
      <c r="T24" s="3">
        <f>IF(AND(ISNUMBER(D23),ISNUMBER(D24),ISNUMBER(D25),ISNUMBER(D26),ISNUMBER(D27),ISNUMBER(D28)),IF(AF23=2,AD23,IF(AF24=2,AD24,IF(AF25=2,AD25,IF(AF26=2,AD26,"")))),"")</f>
        <v>4</v>
      </c>
      <c r="U24" s="3">
        <f>IF(AND(ISNUMBER(D23),ISNUMBER(D24),ISNUMBER(D25),ISNUMBER(D26),ISNUMBER(D27),ISNUMBER(D28)),IF(AF23=2,AE23,IF(AF24=2,AE24,IF(AF25=2,AE25,IF(AF26=2,AE26,"")))),"")</f>
        <v>7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2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0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6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2</v>
      </c>
      <c r="AD24">
        <f>AB24-AC24</f>
        <v>4</v>
      </c>
      <c r="AE24">
        <f>3*Y24+Z24</f>
        <v>7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2</v>
      </c>
    </row>
    <row r="25" spans="1:32" ht="16.5" customHeight="1" x14ac:dyDescent="0.25">
      <c r="A25" s="3">
        <v>15</v>
      </c>
      <c r="B25" s="3" t="s">
        <v>65</v>
      </c>
      <c r="C25" s="4" t="s">
        <v>71</v>
      </c>
      <c r="D25" s="5">
        <v>0</v>
      </c>
      <c r="E25" s="3" t="s">
        <v>29</v>
      </c>
      <c r="F25" s="5">
        <v>2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0</v>
      </c>
      <c r="Q25" s="3">
        <f>IF(AND(ISNUMBER(D23),ISNUMBER(D24),ISNUMBER(D25),ISNUMBER(D26),ISNUMBER(D27),ISNUMBER(D28)),IF(AF23=3,AA23,IF(AF24=3,AA24,IF(AF25=3,AA25,IF(AF26=3,AA26,"")))),"")</f>
        <v>2</v>
      </c>
      <c r="R25" s="3">
        <f>IF(AND(ISNUMBER(D23),ISNUMBER(D24),ISNUMBER(D25),ISNUMBER(D26),ISNUMBER(D27),ISNUMBER(D28)),IF(AF23=3,AB23,IF(AF24=3,AB24,IF(AF25=3,AB25,IF(AF26=3,AB26,"")))),"")</f>
        <v>1</v>
      </c>
      <c r="S25" s="3">
        <f>IF(AND(ISNUMBER(D23),ISNUMBER(D24),ISNUMBER(D25),ISNUMBER(D26),ISNUMBER(D27),ISNUMBER(D28)),IF(AF23=3,AC23,IF(AF24=3,AC24,IF(AF25=3,AC25,IF(AF26=3,AC26,"")))),"")</f>
        <v>4</v>
      </c>
      <c r="T25" s="3">
        <f>IF(AND(ISNUMBER(D23),ISNUMBER(D24),ISNUMBER(D25),ISNUMBER(D26),ISNUMBER(D27),ISNUMBER(D28)),IF(AF23=3,AD23,IF(AF24=3,AD24,IF(AF25=3,AD25,IF(AF26=3,AD26,"")))),"")</f>
        <v>-3</v>
      </c>
      <c r="U25" s="3">
        <f>IF(AND(ISNUMBER(D23),ISNUMBER(D24),ISNUMBER(D25),ISNUMBER(D26),ISNUMBER(D27),ISNUMBER(D28)),IF(AF23=3,AE23,IF(AF24=3,AE24,IF(AF25=3,AE25,IF(AF26=3,AE26,"")))),"")</f>
        <v>3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6</v>
      </c>
      <c r="AD25">
        <f>AB25-AC25</f>
        <v>-6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 x14ac:dyDescent="0.25">
      <c r="A26" s="7">
        <v>16</v>
      </c>
      <c r="B26" s="7" t="s">
        <v>65</v>
      </c>
      <c r="C26" s="8" t="s">
        <v>66</v>
      </c>
      <c r="D26" s="5">
        <v>3</v>
      </c>
      <c r="E26" s="7" t="s">
        <v>29</v>
      </c>
      <c r="F26" s="5">
        <v>0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6</v>
      </c>
      <c r="T26" s="3">
        <f>IF(AND(ISNUMBER(D23),ISNUMBER(D24),ISNUMBER(D25),ISNUMBER(D26),ISNUMBER(D27),ISNUMBER(D28)),IF(AF23=4,AD23,IF(AF24=4,AD24,IF(AF25=4,AD25,IF(AF26=4,AD26,"")))),"")</f>
        <v>-6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0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2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1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4</v>
      </c>
      <c r="AD26">
        <f>AB26-AC26</f>
        <v>-3</v>
      </c>
      <c r="AE26">
        <f>3*Y26+Z26</f>
        <v>3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 x14ac:dyDescent="0.25">
      <c r="A27" s="3">
        <v>17</v>
      </c>
      <c r="B27" s="3" t="s">
        <v>65</v>
      </c>
      <c r="C27" s="4" t="s">
        <v>71</v>
      </c>
      <c r="D27" s="5">
        <v>0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25">
      <c r="A28" s="7">
        <v>18</v>
      </c>
      <c r="B28" s="7" t="s">
        <v>65</v>
      </c>
      <c r="C28" s="8" t="s">
        <v>67</v>
      </c>
      <c r="D28" s="5">
        <v>2</v>
      </c>
      <c r="E28" s="7" t="s">
        <v>29</v>
      </c>
      <c r="F28" s="5">
        <v>0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25">
      <c r="A29" s="60" t="s">
        <v>76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M29" s="61" t="s">
        <v>77</v>
      </c>
      <c r="N29" s="61"/>
      <c r="O29" s="61"/>
      <c r="P29" s="61"/>
      <c r="Q29" s="61"/>
      <c r="R29" s="61"/>
      <c r="S29" s="61"/>
      <c r="T29" s="61"/>
      <c r="U29" s="61"/>
    </row>
    <row r="30" spans="1:32" ht="15.75" customHeight="1" x14ac:dyDescent="0.25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25">
      <c r="A31" s="3">
        <v>19</v>
      </c>
      <c r="B31" s="3" t="s">
        <v>78</v>
      </c>
      <c r="C31" s="4" t="s">
        <v>79</v>
      </c>
      <c r="D31" s="5">
        <v>1</v>
      </c>
      <c r="E31" s="3" t="s">
        <v>29</v>
      </c>
      <c r="F31" s="5">
        <v>1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Tyrkia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2</v>
      </c>
      <c r="P31" s="3">
        <f>IF(AND(ISNUMBER(D31),ISNUMBER(D32),ISNUMBER(D33),ISNUMBER(D34),ISNUMBER(D35),ISNUMBER(D36)),IF(AF31=1,Z31,IF(AF32=1,Z32,IF(AF33=1,Z33,IF(AF34=1,Z34,"")))),"")</f>
        <v>1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4</v>
      </c>
      <c r="S31" s="3">
        <f>IF(AND(ISNUMBER(D31),ISNUMBER(D32),ISNUMBER(D33),ISNUMBER(D34),ISNUMBER(D35),ISNUMBER(D36)),IF(AF31=1,AC31,IF(AF32=1,AC32,IF(AF33=1,AC33,IF(AF34=1,AC34,"")))),"")</f>
        <v>1</v>
      </c>
      <c r="T31" s="3">
        <f>IF(AND(ISNUMBER(D31),ISNUMBER(D32),ISNUMBER(D33),ISNUMBER(D34),ISNUMBER(D35),ISNUMBER(D36)),IF(AF31=1,AD31,IF(AF32=1,AD32,IF(AF33=1,AD33,IF(AF34=1,AD34,"")))),"")</f>
        <v>3</v>
      </c>
      <c r="U31" s="3">
        <f>IF(AND(ISNUMBER(D31),ISNUMBER(D32),ISNUMBER(D33),ISNUMBER(D34),ISNUMBER(D35),ISNUMBER(D36)),IF(AF31=1,AE31,IF(AF32=1,AE32,IF(AF33=1,AE33,IF(AF34=1,AE34,"")))),"")</f>
        <v>7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1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1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1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3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4</v>
      </c>
      <c r="AD31">
        <f>AB31-AC31</f>
        <v>-1</v>
      </c>
      <c r="AE31">
        <f>3*Y31+Z31</f>
        <v>4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2</v>
      </c>
    </row>
    <row r="32" spans="1:32" ht="16.5" customHeight="1" x14ac:dyDescent="0.25">
      <c r="A32" s="7">
        <v>20</v>
      </c>
      <c r="B32" s="7" t="s">
        <v>78</v>
      </c>
      <c r="C32" s="8" t="s">
        <v>81</v>
      </c>
      <c r="D32" s="5">
        <v>1</v>
      </c>
      <c r="E32" s="7" t="s">
        <v>29</v>
      </c>
      <c r="F32" s="5">
        <v>1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USA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1</v>
      </c>
      <c r="Q32" s="3">
        <f>IF(AND(ISNUMBER(D31),ISNUMBER(D32),ISNUMBER(D33),ISNUMBER(D34),ISNUMBER(D35),ISNUMBER(D36)),IF(AF31=2,AA31,IF(AF32=2,AA32,IF(AF33=2,AA33,IF(AF34=2,AA34,"")))),"")</f>
        <v>1</v>
      </c>
      <c r="R32" s="3">
        <f>IF(AND(ISNUMBER(D31),ISNUMBER(D32),ISNUMBER(D33),ISNUMBER(D34),ISNUMBER(D35),ISNUMBER(D36)),IF(AF31=2,AB31,IF(AF32=2,AB32,IF(AF33=2,AB33,IF(AF34=2,AB34,"")))),"")</f>
        <v>3</v>
      </c>
      <c r="S32" s="3">
        <f>IF(AND(ISNUMBER(D31),ISNUMBER(D32),ISNUMBER(D33),ISNUMBER(D34),ISNUMBER(D35),ISNUMBER(D36)),IF(AF31=2,AC31,IF(AF32=2,AC32,IF(AF33=2,AC33,IF(AF34=2,AC34,"")))),"")</f>
        <v>4</v>
      </c>
      <c r="T32" s="3">
        <f>IF(AND(ISNUMBER(D31),ISNUMBER(D32),ISNUMBER(D33),ISNUMBER(D34),ISNUMBER(D35),ISNUMBER(D36)),IF(AF31=2,AD31,IF(AF32=2,AD32,IF(AF33=2,AD33,IF(AF34=2,AD34,"")))),"")</f>
        <v>-1</v>
      </c>
      <c r="U32" s="3">
        <f>IF(AND(ISNUMBER(D31),ISNUMBER(D32),ISNUMBER(D33),ISNUMBER(D34),ISNUMBER(D35),ISNUMBER(D36)),IF(AF31=2,AE31,IF(AF32=2,AE32,IF(AF33=2,AE33,IF(AF34=2,AE34,"")))),"")</f>
        <v>4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0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2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1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2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3</v>
      </c>
      <c r="AD32">
        <f>AB32-AC32</f>
        <v>-1</v>
      </c>
      <c r="AE32">
        <f>3*Y32+Z32</f>
        <v>2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4</v>
      </c>
    </row>
    <row r="33" spans="1:32" ht="16.5" customHeight="1" x14ac:dyDescent="0.25">
      <c r="A33" s="3">
        <v>21</v>
      </c>
      <c r="B33" s="3" t="s">
        <v>78</v>
      </c>
      <c r="C33" s="4" t="s">
        <v>79</v>
      </c>
      <c r="D33" s="5">
        <v>2</v>
      </c>
      <c r="E33" s="3" t="s">
        <v>29</v>
      </c>
      <c r="F33" s="5">
        <v>1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Australia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2</v>
      </c>
      <c r="Q33" s="3">
        <f>IF(AND(ISNUMBER(D31),ISNUMBER(D32),ISNUMBER(D33),ISNUMBER(D34),ISNUMBER(D35),ISNUMBER(D36)),IF(AF31=3,AA31,IF(AF32=3,AA32,IF(AF33=3,AA33,IF(AF34=3,AA34,"")))),"")</f>
        <v>1</v>
      </c>
      <c r="R33" s="3">
        <f>IF(AND(ISNUMBER(D31),ISNUMBER(D32),ISNUMBER(D33),ISNUMBER(D34),ISNUMBER(D35),ISNUMBER(D36)),IF(AF31=3,AB31,IF(AF32=3,AB32,IF(AF33=3,AB33,IF(AF34=3,AB34,"")))),"")</f>
        <v>3</v>
      </c>
      <c r="S33" s="3">
        <f>IF(AND(ISNUMBER(D31),ISNUMBER(D32),ISNUMBER(D33),ISNUMBER(D34),ISNUMBER(D35),ISNUMBER(D36)),IF(AF31=3,AC31,IF(AF32=3,AC32,IF(AF33=3,AC33,IF(AF34=3,AC34,"")))),"")</f>
        <v>4</v>
      </c>
      <c r="T33" s="3">
        <f>IF(AND(ISNUMBER(D31),ISNUMBER(D32),ISNUMBER(D33),ISNUMBER(D34),ISNUMBER(D35),ISNUMBER(D36)),IF(AF31=3,AD31,IF(AF32=3,AD32,IF(AF33=3,AD33,IF(AF34=3,AD34,"")))),"")</f>
        <v>-1</v>
      </c>
      <c r="U33" s="3">
        <f>IF(AND(ISNUMBER(D31),ISNUMBER(D32),ISNUMBER(D33),ISNUMBER(D34),ISNUMBER(D35),ISNUMBER(D36)),IF(AF31=3,AE31,IF(AF32=3,AE32,IF(AF33=3,AE33,IF(AF34=3,AE34,"")))),"")</f>
        <v>2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2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1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3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4</v>
      </c>
      <c r="AD33">
        <f>AB33-AC33</f>
        <v>-1</v>
      </c>
      <c r="AE33">
        <f>3*Y33+Z33</f>
        <v>2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3</v>
      </c>
    </row>
    <row r="34" spans="1:32" ht="16.5" customHeight="1" x14ac:dyDescent="0.25">
      <c r="A34" s="7">
        <v>22</v>
      </c>
      <c r="B34" s="7" t="s">
        <v>78</v>
      </c>
      <c r="C34" s="8" t="s">
        <v>82</v>
      </c>
      <c r="D34" s="5">
        <v>1</v>
      </c>
      <c r="E34" s="7" t="s">
        <v>29</v>
      </c>
      <c r="F34" s="5">
        <v>0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Paraguay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2</v>
      </c>
      <c r="Q34" s="3">
        <f>IF(AND(ISNUMBER(D31),ISNUMBER(D32),ISNUMBER(D33),ISNUMBER(D34),ISNUMBER(D35),ISNUMBER(D36)),IF(AF31=4,AA31,IF(AF32=4,AA32,IF(AF33=4,AA33,IF(AF34=4,AA34,"")))),"")</f>
        <v>1</v>
      </c>
      <c r="R34" s="3">
        <f>IF(AND(ISNUMBER(D31),ISNUMBER(D32),ISNUMBER(D33),ISNUMBER(D34),ISNUMBER(D35),ISNUMBER(D36)),IF(AF31=4,AB31,IF(AF32=4,AB32,IF(AF33=4,AB33,IF(AF34=4,AB34,"")))),"")</f>
        <v>2</v>
      </c>
      <c r="S34" s="3">
        <f>IF(AND(ISNUMBER(D31),ISNUMBER(D32),ISNUMBER(D33),ISNUMBER(D34),ISNUMBER(D35),ISNUMBER(D36)),IF(AF31=4,AC31,IF(AF32=4,AC32,IF(AF33=4,AC33,IF(AF34=4,AC34,"")))),"")</f>
        <v>3</v>
      </c>
      <c r="T34" s="3">
        <f>IF(AND(ISNUMBER(D31),ISNUMBER(D32),ISNUMBER(D33),ISNUMBER(D34),ISNUMBER(D35),ISNUMBER(D36)),IF(AF31=4,AD31,IF(AF32=4,AD32,IF(AF33=4,AD33,IF(AF34=4,AD34,"")))),"")</f>
        <v>-1</v>
      </c>
      <c r="U34" s="3">
        <f>IF(AND(ISNUMBER(D31),ISNUMBER(D32),ISNUMBER(D33),ISNUMBER(D34),ISNUMBER(D35),ISNUMBER(D36)),IF(AF31=4,AE31,IF(AF32=4,AE32,IF(AF33=4,AE33,IF(AF34=4,AE34,"")))),"")</f>
        <v>2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2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1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4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1</v>
      </c>
      <c r="AD34">
        <f>AB34-AC34</f>
        <v>3</v>
      </c>
      <c r="AE34">
        <f>3*Y34+Z34</f>
        <v>7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1</v>
      </c>
    </row>
    <row r="35" spans="1:32" ht="16.5" customHeight="1" x14ac:dyDescent="0.25">
      <c r="A35" s="3">
        <v>23</v>
      </c>
      <c r="B35" s="3" t="s">
        <v>78</v>
      </c>
      <c r="C35" s="4" t="s">
        <v>82</v>
      </c>
      <c r="D35" s="5">
        <v>2</v>
      </c>
      <c r="E35" s="3" t="s">
        <v>29</v>
      </c>
      <c r="F35" s="5">
        <v>0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25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1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25">
      <c r="A37" s="60" t="s">
        <v>85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M37" s="61" t="s">
        <v>86</v>
      </c>
      <c r="N37" s="61"/>
      <c r="O37" s="61"/>
      <c r="P37" s="61"/>
      <c r="Q37" s="61"/>
      <c r="R37" s="61"/>
      <c r="S37" s="61"/>
      <c r="T37" s="61"/>
      <c r="U37" s="61"/>
    </row>
    <row r="38" spans="1:32" ht="15.75" customHeight="1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25">
      <c r="A39" s="3">
        <v>25</v>
      </c>
      <c r="B39" s="3" t="s">
        <v>87</v>
      </c>
      <c r="C39" s="4" t="s">
        <v>88</v>
      </c>
      <c r="D39" s="5">
        <v>2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1</v>
      </c>
      <c r="P39" s="3">
        <f>IF(AND(ISNUMBER(D39),ISNUMBER(D40),ISNUMBER(D41),ISNUMBER(D42),ISNUMBER(D43),ISNUMBER(D44)),IF(AF39=1,Z39,IF(AF40=1,Z40,IF(AF41=1,Z41,IF(AF42=1,Z42,"")))),"")</f>
        <v>2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4</v>
      </c>
      <c r="S39" s="3">
        <f>IF(AND(ISNUMBER(D39),ISNUMBER(D40),ISNUMBER(D41),ISNUMBER(D42),ISNUMBER(D43),ISNUMBER(D44)),IF(AF39=1,AC39,IF(AF40=1,AC40,IF(AF41=1,AC41,IF(AF42=1,AC42,"")))),"")</f>
        <v>2</v>
      </c>
      <c r="T39" s="3">
        <f>IF(AND(ISNUMBER(D39),ISNUMBER(D40),ISNUMBER(D41),ISNUMBER(D42),ISNUMBER(D43),ISNUMBER(D44)),IF(AF39=1,AD39,IF(AF40=1,AD40,IF(AF41=1,AD41,IF(AF42=1,AD42,"")))),"")</f>
        <v>2</v>
      </c>
      <c r="U39" s="3">
        <f>IF(AND(ISNUMBER(D39),ISNUMBER(D40),ISNUMBER(D41),ISNUMBER(D42),ISNUMBER(D43),ISNUMBER(D44)),IF(AF39=1,AE39,IF(AF40=1,AE40,IF(AF41=1,AE41,IF(AF42=1,AE42,"")))),"")</f>
        <v>5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1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2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4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2</v>
      </c>
      <c r="AD39">
        <f>AB39-AC39</f>
        <v>2</v>
      </c>
      <c r="AE39">
        <f>3*Y39+Z39</f>
        <v>5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 x14ac:dyDescent="0.25">
      <c r="A40" s="7">
        <v>26</v>
      </c>
      <c r="B40" s="7" t="s">
        <v>87</v>
      </c>
      <c r="C40" s="8" t="s">
        <v>92</v>
      </c>
      <c r="D40" s="5">
        <v>1</v>
      </c>
      <c r="E40" s="7" t="s">
        <v>29</v>
      </c>
      <c r="F40" s="5">
        <v>1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Elfenbenskysten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1</v>
      </c>
      <c r="P40" s="3">
        <f>IF(AND(ISNUMBER(D39),ISNUMBER(D40),ISNUMBER(D41),ISNUMBER(D42),ISNUMBER(D43),ISNUMBER(D44)),IF(AF39=2,Z39,IF(AF40=2,Z40,IF(AF41=2,Z41,IF(AF42=2,Z42,"")))),"")</f>
        <v>2</v>
      </c>
      <c r="Q40" s="3">
        <f>IF(AND(ISNUMBER(D39),ISNUMBER(D40),ISNUMBER(D41),ISNUMBER(D42),ISNUMBER(D43),ISNUMBER(D44)),IF(AF39=2,AA39,IF(AF40=2,AA40,IF(AF41=2,AA41,IF(AF42=2,AA42,"")))),"")</f>
        <v>0</v>
      </c>
      <c r="R40" s="3">
        <f>IF(AND(ISNUMBER(D39),ISNUMBER(D40),ISNUMBER(D41),ISNUMBER(D42),ISNUMBER(D43),ISNUMBER(D44)),IF(AF39=2,AB39,IF(AF40=2,AB40,IF(AF41=2,AB41,IF(AF42=2,AB42,"")))),"")</f>
        <v>4</v>
      </c>
      <c r="S40" s="3">
        <f>IF(AND(ISNUMBER(D39),ISNUMBER(D40),ISNUMBER(D41),ISNUMBER(D42),ISNUMBER(D43),ISNUMBER(D44)),IF(AF39=2,AC39,IF(AF40=2,AC40,IF(AF41=2,AC41,IF(AF42=2,AC42,"")))),"")</f>
        <v>2</v>
      </c>
      <c r="T40" s="3">
        <f>IF(AND(ISNUMBER(D39),ISNUMBER(D40),ISNUMBER(D41),ISNUMBER(D42),ISNUMBER(D43),ISNUMBER(D44)),IF(AF39=2,AD39,IF(AF40=2,AD40,IF(AF41=2,AD41,IF(AF42=2,AD42,"")))),"")</f>
        <v>2</v>
      </c>
      <c r="U40" s="3">
        <f>IF(AND(ISNUMBER(D39),ISNUMBER(D40),ISNUMBER(D41),ISNUMBER(D42),ISNUMBER(D43),ISNUMBER(D44)),IF(AF39=2,AE39,IF(AF40=2,AE40,IF(AF41=2,AE41,IF(AF42=2,AE42,"")))),"")</f>
        <v>5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0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5</v>
      </c>
      <c r="AD40">
        <f>AB40-AC40</f>
        <v>-5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 x14ac:dyDescent="0.25">
      <c r="A41" s="3">
        <v>27</v>
      </c>
      <c r="B41" s="3" t="s">
        <v>87</v>
      </c>
      <c r="C41" s="4" t="s">
        <v>88</v>
      </c>
      <c r="D41" s="5">
        <v>1</v>
      </c>
      <c r="E41" s="3" t="s">
        <v>29</v>
      </c>
      <c r="F41" s="5">
        <v>1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Ecuador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2</v>
      </c>
      <c r="Q41" s="3">
        <f>IF(AND(ISNUMBER(D39),ISNUMBER(D40),ISNUMBER(D41),ISNUMBER(D42),ISNUMBER(D43),ISNUMBER(D44)),IF(AF39=3,AA39,IF(AF40=3,AA40,IF(AF41=3,AA41,IF(AF42=3,AA42,"")))),"")</f>
        <v>0</v>
      </c>
      <c r="R41" s="3">
        <f>IF(AND(ISNUMBER(D39),ISNUMBER(D40),ISNUMBER(D41),ISNUMBER(D42),ISNUMBER(D43),ISNUMBER(D44)),IF(AF39=3,AB39,IF(AF40=3,AB40,IF(AF41=3,AB41,IF(AF42=3,AB42,"")))),"")</f>
        <v>3</v>
      </c>
      <c r="S41" s="3">
        <f>IF(AND(ISNUMBER(D39),ISNUMBER(D40),ISNUMBER(D41),ISNUMBER(D42),ISNUMBER(D43),ISNUMBER(D44)),IF(AF39=3,AC39,IF(AF40=3,AC40,IF(AF41=3,AC41,IF(AF42=3,AC42,"")))),"")</f>
        <v>2</v>
      </c>
      <c r="T41" s="3">
        <f>IF(AND(ISNUMBER(D39),ISNUMBER(D40),ISNUMBER(D41),ISNUMBER(D42),ISNUMBER(D43),ISNUMBER(D44)),IF(AF39=3,AD39,IF(AF40=3,AD40,IF(AF41=3,AD41,IF(AF42=3,AD42,"")))),"")</f>
        <v>1</v>
      </c>
      <c r="U41" s="3">
        <f>IF(AND(ISNUMBER(D39),ISNUMBER(D40),ISNUMBER(D41),ISNUMBER(D42),ISNUMBER(D43),ISNUMBER(D44)),IF(AF39=3,AE39,IF(AF40=3,AE40,IF(AF41=3,AE41,IF(AF42=3,AE42,"")))),"")</f>
        <v>5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1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2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0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4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2</v>
      </c>
      <c r="AD41">
        <f>AB41-AC41</f>
        <v>2</v>
      </c>
      <c r="AE41">
        <f>3*Y41+Z41</f>
        <v>5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2</v>
      </c>
    </row>
    <row r="42" spans="1:32" ht="16.5" customHeight="1" x14ac:dyDescent="0.25">
      <c r="A42" s="7">
        <v>28</v>
      </c>
      <c r="B42" s="7" t="s">
        <v>87</v>
      </c>
      <c r="C42" s="8" t="s">
        <v>93</v>
      </c>
      <c r="D42" s="5">
        <v>1</v>
      </c>
      <c r="E42" s="7" t="s">
        <v>29</v>
      </c>
      <c r="F42" s="5">
        <v>0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0</v>
      </c>
      <c r="S42" s="3">
        <f>IF(AND(ISNUMBER(D39),ISNUMBER(D40),ISNUMBER(D41),ISNUMBER(D42),ISNUMBER(D43),ISNUMBER(D44)),IF(AF39=4,AC39,IF(AF40=4,AC40,IF(AF41=4,AC41,IF(AF42=4,AC42,"")))),"")</f>
        <v>5</v>
      </c>
      <c r="T42" s="3">
        <f>IF(AND(ISNUMBER(D39),ISNUMBER(D40),ISNUMBER(D41),ISNUMBER(D42),ISNUMBER(D43),ISNUMBER(D44)),IF(AF39=4,AD39,IF(AF40=4,AD40,IF(AF41=4,AD41,IF(AF42=4,AD42,"")))),"")</f>
        <v>-5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2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0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3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2</v>
      </c>
      <c r="AD42">
        <f>AB42-AC42</f>
        <v>1</v>
      </c>
      <c r="AE42">
        <f>3*Y42+Z42</f>
        <v>5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3</v>
      </c>
    </row>
    <row r="43" spans="1:32" ht="16.5" customHeight="1" x14ac:dyDescent="0.25">
      <c r="A43" s="3">
        <v>29</v>
      </c>
      <c r="B43" s="3" t="s">
        <v>87</v>
      </c>
      <c r="C43" s="4" t="s">
        <v>89</v>
      </c>
      <c r="D43" s="5">
        <v>0</v>
      </c>
      <c r="E43" s="3" t="s">
        <v>29</v>
      </c>
      <c r="F43" s="5">
        <v>2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25">
      <c r="A44" s="7">
        <v>30</v>
      </c>
      <c r="B44" s="7" t="s">
        <v>87</v>
      </c>
      <c r="C44" s="8" t="s">
        <v>93</v>
      </c>
      <c r="D44" s="5">
        <v>1</v>
      </c>
      <c r="E44" s="7" t="s">
        <v>29</v>
      </c>
      <c r="F44" s="5">
        <v>1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25">
      <c r="A45" s="60" t="s">
        <v>100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M45" s="61" t="s">
        <v>101</v>
      </c>
      <c r="N45" s="61"/>
      <c r="O45" s="61"/>
      <c r="P45" s="61"/>
      <c r="Q45" s="61"/>
      <c r="R45" s="61"/>
      <c r="S45" s="61"/>
      <c r="T45" s="61"/>
      <c r="U45" s="61"/>
    </row>
    <row r="46" spans="1:32" ht="15.75" customHeight="1" x14ac:dyDescent="0.25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25">
      <c r="A47" s="3">
        <v>31</v>
      </c>
      <c r="B47" s="3" t="s">
        <v>102</v>
      </c>
      <c r="C47" s="4" t="s">
        <v>103</v>
      </c>
      <c r="D47" s="5">
        <v>2</v>
      </c>
      <c r="E47" s="3" t="s">
        <v>29</v>
      </c>
      <c r="F47" s="5">
        <v>0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7</v>
      </c>
      <c r="S47" s="3">
        <f>IF(AND(ISNUMBER(D47),ISNUMBER(D48),ISNUMBER(D49),ISNUMBER(D50),ISNUMBER(D51),ISNUMBER(D52)),IF(AF47=1,AC47,IF(AF48=1,AC48,IF(AF49=1,AC49,IF(AF50=1,AC50,"")))),"")</f>
        <v>2</v>
      </c>
      <c r="T47" s="3">
        <f>IF(AND(ISNUMBER(D47),ISNUMBER(D48),ISNUMBER(D49),ISNUMBER(D50),ISNUMBER(D51),ISNUMBER(D52)),IF(AF47=1,AD47,IF(AF48=1,AD48,IF(AF49=1,AD49,IF(AF50=1,AD50,"")))),"")</f>
        <v>5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7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2</v>
      </c>
      <c r="AD47">
        <f>AB47-AC47</f>
        <v>5</v>
      </c>
      <c r="AE47">
        <f>3*Y47+Z47</f>
        <v>9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 x14ac:dyDescent="0.25">
      <c r="A48" s="7">
        <v>32</v>
      </c>
      <c r="B48" s="7" t="s">
        <v>102</v>
      </c>
      <c r="C48" s="8" t="s">
        <v>106</v>
      </c>
      <c r="D48" s="5">
        <v>1</v>
      </c>
      <c r="E48" s="7" t="s">
        <v>29</v>
      </c>
      <c r="F48" s="5">
        <v>1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Tunisia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0</v>
      </c>
      <c r="P48" s="3">
        <f>IF(AND(ISNUMBER(D47),ISNUMBER(D48),ISNUMBER(D49),ISNUMBER(D50),ISNUMBER(D51),ISNUMBER(D52)),IF(AF47=2,Z47,IF(AF48=2,Z48,IF(AF49=2,Z49,IF(AF50=2,Z50,"")))),"")</f>
        <v>2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3</v>
      </c>
      <c r="S48" s="3">
        <f>IF(AND(ISNUMBER(D47),ISNUMBER(D48),ISNUMBER(D49),ISNUMBER(D50),ISNUMBER(D51),ISNUMBER(D52)),IF(AF47=2,AC47,IF(AF48=2,AC48,IF(AF49=2,AC49,IF(AF50=2,AC50,"")))),"")</f>
        <v>4</v>
      </c>
      <c r="T48" s="3">
        <f>IF(AND(ISNUMBER(D47),ISNUMBER(D48),ISNUMBER(D49),ISNUMBER(D50),ISNUMBER(D51),ISNUMBER(D52)),IF(AF47=2,AD47,IF(AF48=2,AD48,IF(AF49=2,AD49,IF(AF50=2,AD50,"")))),"")</f>
        <v>-1</v>
      </c>
      <c r="U48" s="3">
        <f>IF(AND(ISNUMBER(D47),ISNUMBER(D48),ISNUMBER(D49),ISNUMBER(D50),ISNUMBER(D51),ISNUMBER(D52)),IF(AF47=2,AE47,IF(AF48=2,AE48,IF(AF49=2,AE49,IF(AF50=2,AE50,"")))),"")</f>
        <v>2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0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2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2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4</v>
      </c>
      <c r="AD48">
        <f>AB48-AC48</f>
        <v>-2</v>
      </c>
      <c r="AE48">
        <f>3*Y48+Z48</f>
        <v>2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4</v>
      </c>
    </row>
    <row r="49" spans="1:32" ht="16.5" customHeight="1" x14ac:dyDescent="0.25">
      <c r="A49" s="3">
        <v>33</v>
      </c>
      <c r="B49" s="3" t="s">
        <v>102</v>
      </c>
      <c r="C49" s="4" t="s">
        <v>103</v>
      </c>
      <c r="D49" s="5">
        <v>3</v>
      </c>
      <c r="E49" s="3" t="s">
        <v>29</v>
      </c>
      <c r="F49" s="5">
        <v>1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Sverige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0</v>
      </c>
      <c r="P49" s="3">
        <f>IF(AND(ISNUMBER(D47),ISNUMBER(D48),ISNUMBER(D49),ISNUMBER(D50),ISNUMBER(D51),ISNUMBER(D52)),IF(AF47=3,Z47,IF(AF48=3,Z48,IF(AF49=3,Z49,IF(AF50=3,Z50,"")))),"")</f>
        <v>2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3</v>
      </c>
      <c r="S49" s="3">
        <f>IF(AND(ISNUMBER(D47),ISNUMBER(D48),ISNUMBER(D49),ISNUMBER(D50),ISNUMBER(D51),ISNUMBER(D52)),IF(AF47=3,AC47,IF(AF48=3,AC48,IF(AF49=3,AC49,IF(AF50=3,AC50,"")))),"")</f>
        <v>5</v>
      </c>
      <c r="T49" s="3">
        <f>IF(AND(ISNUMBER(D47),ISNUMBER(D48),ISNUMBER(D49),ISNUMBER(D50),ISNUMBER(D51),ISNUMBER(D52)),IF(AF47=3,AD47,IF(AF48=3,AD48,IF(AF49=3,AD49,IF(AF50=3,AD50,"")))),"")</f>
        <v>-2</v>
      </c>
      <c r="U49" s="3">
        <f>IF(AND(ISNUMBER(D47),ISNUMBER(D48),ISNUMBER(D49),ISNUMBER(D50),ISNUMBER(D51),ISNUMBER(D52)),IF(AF47=3,AE47,IF(AF48=3,AE48,IF(AF49=3,AE49,IF(AF50=3,AE50,"")))),"")</f>
        <v>2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0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2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1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3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5</v>
      </c>
      <c r="AD49">
        <f>AB49-AC49</f>
        <v>-2</v>
      </c>
      <c r="AE49">
        <f>3*Y49+Z49</f>
        <v>2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3</v>
      </c>
    </row>
    <row r="50" spans="1:32" ht="16.5" customHeight="1" x14ac:dyDescent="0.25">
      <c r="A50" s="7">
        <v>34</v>
      </c>
      <c r="B50" s="7" t="s">
        <v>102</v>
      </c>
      <c r="C50" s="8" t="s">
        <v>107</v>
      </c>
      <c r="D50" s="5">
        <v>1</v>
      </c>
      <c r="E50" s="7" t="s">
        <v>29</v>
      </c>
      <c r="F50" s="5">
        <v>1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Japan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2</v>
      </c>
      <c r="Q50" s="3">
        <f>IF(AND(ISNUMBER(D47),ISNUMBER(D48),ISNUMBER(D49),ISNUMBER(D50),ISNUMBER(D51),ISNUMBER(D52)),IF(AF47=4,AA47,IF(AF48=4,AA48,IF(AF49=4,AA49,IF(AF50=4,AA50,"")))),"")</f>
        <v>1</v>
      </c>
      <c r="R50" s="3">
        <f>IF(AND(ISNUMBER(D47),ISNUMBER(D48),ISNUMBER(D49),ISNUMBER(D50),ISNUMBER(D51),ISNUMBER(D52)),IF(AF47=4,AB47,IF(AF48=4,AB48,IF(AF49=4,AB49,IF(AF50=4,AB50,"")))),"")</f>
        <v>2</v>
      </c>
      <c r="S50" s="3">
        <f>IF(AND(ISNUMBER(D47),ISNUMBER(D48),ISNUMBER(D49),ISNUMBER(D50),ISNUMBER(D51),ISNUMBER(D52)),IF(AF47=4,AC47,IF(AF48=4,AC48,IF(AF49=4,AC49,IF(AF50=4,AC50,"")))),"")</f>
        <v>4</v>
      </c>
      <c r="T50" s="3">
        <f>IF(AND(ISNUMBER(D47),ISNUMBER(D48),ISNUMBER(D49),ISNUMBER(D50),ISNUMBER(D51),ISNUMBER(D52)),IF(AF47=4,AD47,IF(AF48=4,AD48,IF(AF49=4,AD49,IF(AF50=4,AD50,"")))),"")</f>
        <v>-2</v>
      </c>
      <c r="U50" s="3">
        <f>IF(AND(ISNUMBER(D47),ISNUMBER(D48),ISNUMBER(D49),ISNUMBER(D50),ISNUMBER(D51),ISNUMBER(D52)),IF(AF47=4,AE47,IF(AF48=4,AE48,IF(AF49=4,AE49,IF(AF50=4,AE50,"")))),"")</f>
        <v>2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2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1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3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4</v>
      </c>
      <c r="AD50">
        <f>AB50-AC50</f>
        <v>-1</v>
      </c>
      <c r="AE50">
        <f>3*Y50+Z50</f>
        <v>2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2</v>
      </c>
    </row>
    <row r="51" spans="1:32" ht="16.5" customHeight="1" x14ac:dyDescent="0.25">
      <c r="A51" s="3">
        <v>35</v>
      </c>
      <c r="B51" s="3" t="s">
        <v>102</v>
      </c>
      <c r="C51" s="4" t="s">
        <v>107</v>
      </c>
      <c r="D51" s="5">
        <v>1</v>
      </c>
      <c r="E51" s="3" t="s">
        <v>29</v>
      </c>
      <c r="F51" s="5">
        <v>2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25">
      <c r="A52" s="7">
        <v>36</v>
      </c>
      <c r="B52" s="7" t="s">
        <v>102</v>
      </c>
      <c r="C52" s="8" t="s">
        <v>104</v>
      </c>
      <c r="D52" s="5">
        <v>1</v>
      </c>
      <c r="E52" s="7" t="s">
        <v>29</v>
      </c>
      <c r="F52" s="5">
        <v>1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25">
      <c r="A53" s="60" t="s">
        <v>108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M53" s="61" t="s">
        <v>109</v>
      </c>
      <c r="N53" s="61"/>
      <c r="O53" s="61"/>
      <c r="P53" s="61"/>
      <c r="Q53" s="61"/>
      <c r="R53" s="61"/>
      <c r="S53" s="61"/>
      <c r="T53" s="61"/>
      <c r="U53" s="61"/>
    </row>
    <row r="54" spans="1:32" ht="15.75" customHeight="1" x14ac:dyDescent="0.25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25">
      <c r="A55" s="3">
        <v>37</v>
      </c>
      <c r="B55" s="3" t="s">
        <v>110</v>
      </c>
      <c r="C55" s="4" t="s">
        <v>111</v>
      </c>
      <c r="D55" s="5">
        <v>2</v>
      </c>
      <c r="E55" s="3" t="s">
        <v>29</v>
      </c>
      <c r="F55" s="5">
        <v>1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2</v>
      </c>
      <c r="P55" s="3">
        <f>IF(AND(ISNUMBER(D55),ISNUMBER(D56),ISNUMBER(D57),ISNUMBER(D58),ISNUMBER(D59),ISNUMBER(D60)),IF(AF55=1,Z55,IF(AF56=1,Z56,IF(AF57=1,Z57,IF(AF58=1,Z58,"")))),"")</f>
        <v>1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5</v>
      </c>
      <c r="S55" s="3">
        <f>IF(AND(ISNUMBER(D55),ISNUMBER(D56),ISNUMBER(D57),ISNUMBER(D58),ISNUMBER(D59),ISNUMBER(D60)),IF(AF55=1,AC55,IF(AF56=1,AC56,IF(AF57=1,AC57,IF(AF58=1,AC58,"")))),"")</f>
        <v>2</v>
      </c>
      <c r="T55" s="3">
        <f>IF(AND(ISNUMBER(D55),ISNUMBER(D56),ISNUMBER(D57),ISNUMBER(D58),ISNUMBER(D59),ISNUMBER(D60)),IF(AF55=1,AD55,IF(AF56=1,AD56,IF(AF57=1,AD57,IF(AF58=1,AD58,"")))),"")</f>
        <v>3</v>
      </c>
      <c r="U55" s="3">
        <f>IF(AND(ISNUMBER(D55),ISNUMBER(D56),ISNUMBER(D57),ISNUMBER(D58),ISNUMBER(D59),ISNUMBER(D60)),IF(AF55=1,AE55,IF(AF56=1,AE56,IF(AF57=1,AE57,IF(AF58=1,AE58,"")))),"")</f>
        <v>7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2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1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5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2</v>
      </c>
      <c r="AD55">
        <f>AB55-AC55</f>
        <v>3</v>
      </c>
      <c r="AE55">
        <f>3*Y55+Z55</f>
        <v>7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 x14ac:dyDescent="0.25">
      <c r="A56" s="7">
        <v>38</v>
      </c>
      <c r="B56" s="7" t="s">
        <v>110</v>
      </c>
      <c r="C56" s="8" t="s">
        <v>113</v>
      </c>
      <c r="D56" s="5">
        <v>0</v>
      </c>
      <c r="E56" s="7" t="s">
        <v>29</v>
      </c>
      <c r="F56" s="5">
        <v>1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New Zealand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1</v>
      </c>
      <c r="P56" s="3">
        <f>IF(AND(ISNUMBER(D55),ISNUMBER(D56),ISNUMBER(D57),ISNUMBER(D58),ISNUMBER(D59),ISNUMBER(D60)),IF(AF55=2,Z55,IF(AF56=2,Z56,IF(AF57=2,Z57,IF(AF58=2,Z58,"")))),"")</f>
        <v>2</v>
      </c>
      <c r="Q56" s="3">
        <f>IF(AND(ISNUMBER(D55),ISNUMBER(D56),ISNUMBER(D57),ISNUMBER(D58),ISNUMBER(D59),ISNUMBER(D60)),IF(AF55=2,AA55,IF(AF56=2,AA56,IF(AF57=2,AA57,IF(AF58=2,AA58,"")))),"")</f>
        <v>0</v>
      </c>
      <c r="R56" s="3">
        <f>IF(AND(ISNUMBER(D55),ISNUMBER(D56),ISNUMBER(D57),ISNUMBER(D58),ISNUMBER(D59),ISNUMBER(D60)),IF(AF55=2,AB55,IF(AF56=2,AB56,IF(AF57=2,AB57,IF(AF58=2,AB58,"")))),"")</f>
        <v>3</v>
      </c>
      <c r="S56" s="3">
        <f>IF(AND(ISNUMBER(D55),ISNUMBER(D56),ISNUMBER(D57),ISNUMBER(D58),ISNUMBER(D59),ISNUMBER(D60)),IF(AF55=2,AC55,IF(AF56=2,AC56,IF(AF57=2,AC57,IF(AF58=2,AC58,"")))),"")</f>
        <v>2</v>
      </c>
      <c r="T56" s="3">
        <f>IF(AND(ISNUMBER(D55),ISNUMBER(D56),ISNUMBER(D57),ISNUMBER(D58),ISNUMBER(D59),ISNUMBER(D60)),IF(AF55=2,AD55,IF(AF56=2,AD56,IF(AF57=2,AD57,IF(AF58=2,AD58,"")))),"")</f>
        <v>1</v>
      </c>
      <c r="U56" s="3">
        <f>IF(AND(ISNUMBER(D55),ISNUMBER(D56),ISNUMBER(D57),ISNUMBER(D58),ISNUMBER(D59),ISNUMBER(D60)),IF(AF55=2,AE55,IF(AF56=2,AE56,IF(AF57=2,AE57,IF(AF58=2,AE58,"")))),"")</f>
        <v>5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1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1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3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3</v>
      </c>
      <c r="AD56">
        <f>AB56-AC56</f>
        <v>0</v>
      </c>
      <c r="AE56">
        <f>3*Y56+Z56</f>
        <v>4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3</v>
      </c>
    </row>
    <row r="57" spans="1:32" ht="16.5" customHeight="1" x14ac:dyDescent="0.25">
      <c r="A57" s="3">
        <v>39</v>
      </c>
      <c r="B57" s="3" t="s">
        <v>110</v>
      </c>
      <c r="C57" s="4" t="s">
        <v>111</v>
      </c>
      <c r="D57" s="5">
        <v>2</v>
      </c>
      <c r="E57" s="3" t="s">
        <v>29</v>
      </c>
      <c r="F57" s="5">
        <v>0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Egypt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1</v>
      </c>
      <c r="Q57" s="3">
        <f>IF(AND(ISNUMBER(D55),ISNUMBER(D56),ISNUMBER(D57),ISNUMBER(D58),ISNUMBER(D59),ISNUMBER(D60)),IF(AF55=3,AA55,IF(AF56=3,AA56,IF(AF57=3,AA57,IF(AF58=3,AA58,"")))),"")</f>
        <v>1</v>
      </c>
      <c r="R57" s="3">
        <f>IF(AND(ISNUMBER(D55),ISNUMBER(D56),ISNUMBER(D57),ISNUMBER(D58),ISNUMBER(D59),ISNUMBER(D60)),IF(AF55=3,AB55,IF(AF56=3,AB56,IF(AF57=3,AB57,IF(AF58=3,AB58,"")))),"")</f>
        <v>3</v>
      </c>
      <c r="S57" s="3">
        <f>IF(AND(ISNUMBER(D55),ISNUMBER(D56),ISNUMBER(D57),ISNUMBER(D58),ISNUMBER(D59),ISNUMBER(D60)),IF(AF55=3,AC55,IF(AF56=3,AC56,IF(AF57=3,AC57,IF(AF58=3,AC58,"")))),"")</f>
        <v>3</v>
      </c>
      <c r="T57" s="3">
        <f>IF(AND(ISNUMBER(D55),ISNUMBER(D56),ISNUMBER(D57),ISNUMBER(D58),ISNUMBER(D59),ISNUMBER(D60)),IF(AF55=3,AD55,IF(AF56=3,AD56,IF(AF57=3,AD57,IF(AF58=3,AD58,"")))),"")</f>
        <v>0</v>
      </c>
      <c r="U57" s="3">
        <f>IF(AND(ISNUMBER(D55),ISNUMBER(D56),ISNUMBER(D57),ISNUMBER(D58),ISNUMBER(D59),ISNUMBER(D60)),IF(AF55=3,AE55,IF(AF56=3,AE56,IF(AF57=3,AE57,IF(AF58=3,AE58,"")))),"")</f>
        <v>4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0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0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3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0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4</v>
      </c>
      <c r="AD57">
        <f>AB57-AC57</f>
        <v>-4</v>
      </c>
      <c r="AE57">
        <f>3*Y57+Z57</f>
        <v>0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4</v>
      </c>
    </row>
    <row r="58" spans="1:32" ht="16.5" customHeight="1" x14ac:dyDescent="0.25">
      <c r="A58" s="7">
        <v>40</v>
      </c>
      <c r="B58" s="7" t="s">
        <v>110</v>
      </c>
      <c r="C58" s="8" t="s">
        <v>114</v>
      </c>
      <c r="D58" s="5">
        <v>1</v>
      </c>
      <c r="E58" s="7" t="s">
        <v>29</v>
      </c>
      <c r="F58" s="5">
        <v>1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Iran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0</v>
      </c>
      <c r="Q58" s="3">
        <f>IF(AND(ISNUMBER(D55),ISNUMBER(D56),ISNUMBER(D57),ISNUMBER(D58),ISNUMBER(D59),ISNUMBER(D60)),IF(AF55=4,AA55,IF(AF56=4,AA56,IF(AF57=4,AA57,IF(AF58=4,AA58,"")))),"")</f>
        <v>3</v>
      </c>
      <c r="R58" s="3">
        <f>IF(AND(ISNUMBER(D55),ISNUMBER(D56),ISNUMBER(D57),ISNUMBER(D58),ISNUMBER(D59),ISNUMBER(D60)),IF(AF55=4,AB55,IF(AF56=4,AB56,IF(AF57=4,AB57,IF(AF58=4,AB58,"")))),"")</f>
        <v>0</v>
      </c>
      <c r="S58" s="3">
        <f>IF(AND(ISNUMBER(D55),ISNUMBER(D56),ISNUMBER(D57),ISNUMBER(D58),ISNUMBER(D59),ISNUMBER(D60)),IF(AF55=4,AC55,IF(AF56=4,AC56,IF(AF57=4,AC57,IF(AF58=4,AC58,"")))),"")</f>
        <v>4</v>
      </c>
      <c r="T58" s="3">
        <f>IF(AND(ISNUMBER(D55),ISNUMBER(D56),ISNUMBER(D57),ISNUMBER(D58),ISNUMBER(D59),ISNUMBER(D60)),IF(AF55=4,AD55,IF(AF56=4,AD56,IF(AF57=4,AD57,IF(AF58=4,AD58,"")))),"")</f>
        <v>-4</v>
      </c>
      <c r="U58" s="3">
        <f>IF(AND(ISNUMBER(D55),ISNUMBER(D56),ISNUMBER(D57),ISNUMBER(D58),ISNUMBER(D59),ISNUMBER(D60)),IF(AF55=4,AE55,IF(AF56=4,AE56,IF(AF57=4,AE57,IF(AF58=4,AE58,"")))),"")</f>
        <v>0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1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2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0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3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2</v>
      </c>
      <c r="AD58">
        <f>AB58-AC58</f>
        <v>1</v>
      </c>
      <c r="AE58">
        <f>3*Y58+Z58</f>
        <v>5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2</v>
      </c>
    </row>
    <row r="59" spans="1:32" ht="16.5" customHeight="1" x14ac:dyDescent="0.25">
      <c r="A59" s="3">
        <v>41</v>
      </c>
      <c r="B59" s="3" t="s">
        <v>110</v>
      </c>
      <c r="C59" s="4" t="s">
        <v>112</v>
      </c>
      <c r="D59" s="5">
        <v>1</v>
      </c>
      <c r="E59" s="3" t="s">
        <v>29</v>
      </c>
      <c r="F59" s="5">
        <v>0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25">
      <c r="A60" s="7">
        <v>42</v>
      </c>
      <c r="B60" s="7" t="s">
        <v>110</v>
      </c>
      <c r="C60" s="8" t="s">
        <v>114</v>
      </c>
      <c r="D60" s="5">
        <v>1</v>
      </c>
      <c r="E60" s="7" t="s">
        <v>29</v>
      </c>
      <c r="F60" s="5">
        <v>1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25">
      <c r="A61" s="60" t="s">
        <v>119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M61" s="61" t="s">
        <v>120</v>
      </c>
      <c r="N61" s="61"/>
      <c r="O61" s="61"/>
      <c r="P61" s="61"/>
      <c r="Q61" s="61"/>
      <c r="R61" s="61"/>
      <c r="S61" s="61"/>
      <c r="T61" s="61"/>
      <c r="U61" s="61"/>
    </row>
    <row r="62" spans="1:32" ht="15.75" customHeight="1" x14ac:dyDescent="0.25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25">
      <c r="A63" s="3">
        <v>43</v>
      </c>
      <c r="B63" s="3" t="s">
        <v>121</v>
      </c>
      <c r="C63" s="4" t="s">
        <v>122</v>
      </c>
      <c r="D63" s="5">
        <v>4</v>
      </c>
      <c r="E63" s="3" t="s">
        <v>29</v>
      </c>
      <c r="F63" s="5"/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3</v>
      </c>
      <c r="P63" s="3">
        <f>IF(AND(ISNUMBER(D63),ISNUMBER(D64),ISNUMBER(D65),ISNUMBER(D66),ISNUMBER(D67),ISNUMBER(D68)),IF(AF63=1,Z63,IF(AF64=1,Z64,IF(AF65=1,Z65,IF(AF66=1,Z66,"")))),"")</f>
        <v>0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8</v>
      </c>
      <c r="S63" s="3">
        <f>IF(AND(ISNUMBER(D63),ISNUMBER(D64),ISNUMBER(D65),ISNUMBER(D66),ISNUMBER(D67),ISNUMBER(D68)),IF(AF63=1,AC63,IF(AF64=1,AC64,IF(AF65=1,AC65,IF(AF66=1,AC66,"")))),"")</f>
        <v>1</v>
      </c>
      <c r="T63" s="3">
        <f>IF(AND(ISNUMBER(D63),ISNUMBER(D64),ISNUMBER(D65),ISNUMBER(D66),ISNUMBER(D67),ISNUMBER(D68)),IF(AF63=1,AD63,IF(AF64=1,AD64,IF(AF65=1,AD65,IF(AF66=1,AD66,"")))),"")</f>
        <v>7</v>
      </c>
      <c r="U63" s="3">
        <f>IF(AND(ISNUMBER(D63),ISNUMBER(D64),ISNUMBER(D65),ISNUMBER(D66),ISNUMBER(D67),ISNUMBER(D68)),IF(AF63=1,AE63,IF(AF64=1,AE64,IF(AF65=1,AE65,IF(AF66=1,AE66,"")))),"")</f>
        <v>9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3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0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8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1</v>
      </c>
      <c r="AD63">
        <f>AB63-AC63</f>
        <v>7</v>
      </c>
      <c r="AE63">
        <f>3*Y63+Z63</f>
        <v>9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 x14ac:dyDescent="0.25">
      <c r="A64" s="7">
        <v>44</v>
      </c>
      <c r="B64" s="7" t="s">
        <v>121</v>
      </c>
      <c r="C64" s="8" t="s">
        <v>124</v>
      </c>
      <c r="D64" s="5">
        <v>0</v>
      </c>
      <c r="E64" s="7" t="s">
        <v>29</v>
      </c>
      <c r="F64" s="5">
        <v>2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0</v>
      </c>
      <c r="Q64" s="3">
        <f>IF(AND(ISNUMBER(D63),ISNUMBER(D64),ISNUMBER(D65),ISNUMBER(D66),ISNUMBER(D67),ISNUMBER(D68)),IF(AF63=2,AA63,IF(AF64=2,AA64,IF(AF65=2,AA65,IF(AF66=2,AA66,"")))),"")</f>
        <v>1</v>
      </c>
      <c r="R64" s="3">
        <f>IF(AND(ISNUMBER(D63),ISNUMBER(D64),ISNUMBER(D65),ISNUMBER(D66),ISNUMBER(D67),ISNUMBER(D68)),IF(AF63=2,AB63,IF(AF64=2,AB64,IF(AF65=2,AB65,IF(AF66=2,AB66,"")))),"")</f>
        <v>5</v>
      </c>
      <c r="S64" s="3">
        <f>IF(AND(ISNUMBER(D63),ISNUMBER(D64),ISNUMBER(D65),ISNUMBER(D66),ISNUMBER(D67),ISNUMBER(D68)),IF(AF63=2,AC63,IF(AF64=2,AC64,IF(AF65=2,AC65,IF(AF66=2,AC66,"")))),"")</f>
        <v>2</v>
      </c>
      <c r="T64" s="3">
        <f>IF(AND(ISNUMBER(D63),ISNUMBER(D64),ISNUMBER(D65),ISNUMBER(D66),ISNUMBER(D67),ISNUMBER(D68)),IF(AF63=2,AD63,IF(AF64=2,AD64,IF(AF65=2,AD65,IF(AF66=2,AD66,"")))),"")</f>
        <v>3</v>
      </c>
      <c r="U64" s="3">
        <f>IF(AND(ISNUMBER(D63),ISNUMBER(D64),ISNUMBER(D65),ISNUMBER(D66),ISNUMBER(D67),ISNUMBER(D68)),IF(AF63=2,AE63,IF(AF64=2,AE64,IF(AF65=2,AE65,IF(AF66=2,AE66,"")))),"")</f>
        <v>6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0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3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1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8</v>
      </c>
      <c r="AD64">
        <f>AB64-AC64</f>
        <v>-7</v>
      </c>
      <c r="AE64">
        <f>3*Y64+Z64</f>
        <v>0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 x14ac:dyDescent="0.25">
      <c r="A65" s="3">
        <v>45</v>
      </c>
      <c r="B65" s="3" t="s">
        <v>121</v>
      </c>
      <c r="C65" s="4" t="s">
        <v>122</v>
      </c>
      <c r="D65" s="5">
        <v>2</v>
      </c>
      <c r="E65" s="3" t="s">
        <v>29</v>
      </c>
      <c r="F65" s="5">
        <v>0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1</v>
      </c>
      <c r="P65" s="3">
        <f>IF(AND(ISNUMBER(D63),ISNUMBER(D64),ISNUMBER(D65),ISNUMBER(D66),ISNUMBER(D67),ISNUMBER(D68)),IF(AF63=3,Z63,IF(AF64=3,Z64,IF(AF65=3,Z65,IF(AF66=3,Z66,"")))),"")</f>
        <v>0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2</v>
      </c>
      <c r="S65" s="3">
        <f>IF(AND(ISNUMBER(D63),ISNUMBER(D64),ISNUMBER(D65),ISNUMBER(D66),ISNUMBER(D67),ISNUMBER(D68)),IF(AF63=3,AC63,IF(AF64=3,AC64,IF(AF65=3,AC65,IF(AF66=3,AC66,"")))),"")</f>
        <v>5</v>
      </c>
      <c r="T65" s="3">
        <f>IF(AND(ISNUMBER(D63),ISNUMBER(D64),ISNUMBER(D65),ISNUMBER(D66),ISNUMBER(D67),ISNUMBER(D68)),IF(AF63=3,AD63,IF(AF64=3,AD64,IF(AF65=3,AD65,IF(AF66=3,AD66,"")))),"")</f>
        <v>-3</v>
      </c>
      <c r="U65" s="3">
        <f>IF(AND(ISNUMBER(D63),ISNUMBER(D64),ISNUMBER(D65),ISNUMBER(D66),ISNUMBER(D67),ISNUMBER(D68)),IF(AF63=3,AE63,IF(AF64=3,AE64,IF(AF65=3,AE65,IF(AF66=3,AE66,"")))),"")</f>
        <v>3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1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0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2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5</v>
      </c>
      <c r="AD65">
        <f>AB65-AC65</f>
        <v>-3</v>
      </c>
      <c r="AE65">
        <f>3*Y65+Z65</f>
        <v>3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 x14ac:dyDescent="0.25">
      <c r="A66" s="7">
        <v>46</v>
      </c>
      <c r="B66" s="7" t="s">
        <v>121</v>
      </c>
      <c r="C66" s="8" t="s">
        <v>125</v>
      </c>
      <c r="D66" s="5">
        <v>2</v>
      </c>
      <c r="E66" s="7" t="s">
        <v>29</v>
      </c>
      <c r="F66" s="5">
        <v>0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0</v>
      </c>
      <c r="Q66" s="3">
        <f>IF(AND(ISNUMBER(D63),ISNUMBER(D64),ISNUMBER(D65),ISNUMBER(D66),ISNUMBER(D67),ISNUMBER(D68)),IF(AF63=4,AA63,IF(AF64=4,AA64,IF(AF65=4,AA65,IF(AF66=4,AA66,"")))),"")</f>
        <v>3</v>
      </c>
      <c r="R66" s="3">
        <f>IF(AND(ISNUMBER(D63),ISNUMBER(D64),ISNUMBER(D65),ISNUMBER(D66),ISNUMBER(D67),ISNUMBER(D68)),IF(AF63=4,AB63,IF(AF64=4,AB64,IF(AF65=4,AB65,IF(AF66=4,AB66,"")))),"")</f>
        <v>1</v>
      </c>
      <c r="S66" s="3">
        <f>IF(AND(ISNUMBER(D63),ISNUMBER(D64),ISNUMBER(D65),ISNUMBER(D66),ISNUMBER(D67),ISNUMBER(D68)),IF(AF63=4,AC63,IF(AF64=4,AC64,IF(AF65=4,AC65,IF(AF66=4,AC66,"")))),"")</f>
        <v>8</v>
      </c>
      <c r="T66" s="3">
        <f>IF(AND(ISNUMBER(D63),ISNUMBER(D64),ISNUMBER(D65),ISNUMBER(D66),ISNUMBER(D67),ISNUMBER(D68)),IF(AF63=4,AD63,IF(AF64=4,AD64,IF(AF65=4,AD65,IF(AF66=4,AD66,"")))),"")</f>
        <v>-7</v>
      </c>
      <c r="U66" s="3">
        <f>IF(AND(ISNUMBER(D63),ISNUMBER(D64),ISNUMBER(D65),ISNUMBER(D66),ISNUMBER(D67),ISNUMBER(D68)),IF(AF63=4,AE63,IF(AF64=4,AE64,IF(AF65=4,AE65,IF(AF66=4,AE66,"")))),"")</f>
        <v>0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0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1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5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2</v>
      </c>
      <c r="AD66">
        <f>AB66-AC66</f>
        <v>3</v>
      </c>
      <c r="AE66">
        <f>3*Y66+Z66</f>
        <v>6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 x14ac:dyDescent="0.25">
      <c r="A67" s="3">
        <v>47</v>
      </c>
      <c r="B67" s="3" t="s">
        <v>121</v>
      </c>
      <c r="C67" s="4" t="s">
        <v>123</v>
      </c>
      <c r="D67" s="5">
        <v>1</v>
      </c>
      <c r="E67" s="3" t="s">
        <v>29</v>
      </c>
      <c r="F67" s="5">
        <v>2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25">
      <c r="A68" s="7">
        <v>48</v>
      </c>
      <c r="B68" s="7" t="s">
        <v>121</v>
      </c>
      <c r="C68" s="8" t="s">
        <v>125</v>
      </c>
      <c r="D68" s="5">
        <v>1</v>
      </c>
      <c r="E68" s="7" t="s">
        <v>29</v>
      </c>
      <c r="F68" s="5">
        <v>2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25">
      <c r="A69" s="62" t="s">
        <v>126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M69" s="63" t="s">
        <v>127</v>
      </c>
      <c r="N69" s="63"/>
      <c r="O69" s="63"/>
      <c r="P69" s="63"/>
      <c r="Q69" s="63"/>
      <c r="R69" s="63"/>
      <c r="S69" s="63"/>
      <c r="T69" s="63"/>
      <c r="U69" s="63"/>
    </row>
    <row r="70" spans="1:32" ht="15.75" customHeight="1" x14ac:dyDescent="0.25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25">
      <c r="A71" s="3">
        <v>49</v>
      </c>
      <c r="B71" s="3" t="s">
        <v>128</v>
      </c>
      <c r="C71" s="4" t="s">
        <v>129</v>
      </c>
      <c r="D71" s="5">
        <v>2</v>
      </c>
      <c r="E71" s="3" t="s">
        <v>29</v>
      </c>
      <c r="F71" s="5">
        <v>1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2</v>
      </c>
      <c r="P71" s="3">
        <f>IF(AND(ISNUMBER(D71),ISNUMBER(D72),ISNUMBER(D73),ISNUMBER(D74),ISNUMBER(D75),ISNUMBER(D76)),IF(AF71=1,Z71,IF(AF72=1,Z72,IF(AF73=1,Z73,IF(AF74=1,Z74,"")))),"")</f>
        <v>1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6</v>
      </c>
      <c r="S71" s="3">
        <f>IF(AND(ISNUMBER(D71),ISNUMBER(D72),ISNUMBER(D73),ISNUMBER(D74),ISNUMBER(D75),ISNUMBER(D76)),IF(AF71=1,AC71,IF(AF72=1,AC72,IF(AF73=1,AC73,IF(AF74=1,AC74,"")))),"")</f>
        <v>2</v>
      </c>
      <c r="T71" s="3">
        <f>IF(AND(ISNUMBER(D71),ISNUMBER(D72),ISNUMBER(D73),ISNUMBER(D74),ISNUMBER(D75),ISNUMBER(D76)),IF(AF71=1,AD71,IF(AF72=1,AD72,IF(AF73=1,AD73,IF(AF74=1,AD74,"")))),"")</f>
        <v>4</v>
      </c>
      <c r="U71" s="3">
        <f>IF(AND(ISNUMBER(D71),ISNUMBER(D72),ISNUMBER(D73),ISNUMBER(D74),ISNUMBER(D75),ISNUMBER(D76)),IF(AF71=1,AE71,IF(AF72=1,AE72,IF(AF73=1,AE73,IF(AF74=1,AE74,"")))),"")</f>
        <v>7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2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1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6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2</v>
      </c>
      <c r="AD71">
        <f>AB71-AC71</f>
        <v>4</v>
      </c>
      <c r="AE71">
        <f>3*Y71+Z71</f>
        <v>7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 x14ac:dyDescent="0.25">
      <c r="A72" s="10">
        <v>50</v>
      </c>
      <c r="B72" s="10" t="s">
        <v>128</v>
      </c>
      <c r="C72" s="11" t="s">
        <v>131</v>
      </c>
      <c r="D72" s="5">
        <v>0</v>
      </c>
      <c r="E72" s="10" t="s">
        <v>29</v>
      </c>
      <c r="F72" s="5">
        <v>2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Norge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2</v>
      </c>
      <c r="Q72" s="3">
        <f>IF(AND(ISNUMBER(D71),ISNUMBER(D72),ISNUMBER(D73),ISNUMBER(D74),ISNUMBER(D75),ISNUMBER(D76)),IF(AF71=2,AA71,IF(AF72=2,AA72,IF(AF73=2,AA73,IF(AF74=2,AA74,"")))),"")</f>
        <v>0</v>
      </c>
      <c r="R72" s="3">
        <f>IF(AND(ISNUMBER(D71),ISNUMBER(D72),ISNUMBER(D73),ISNUMBER(D74),ISNUMBER(D75),ISNUMBER(D76)),IF(AF71=2,AB71,IF(AF72=2,AB72,IF(AF73=2,AB73,IF(AF74=2,AB74,"")))),"")</f>
        <v>4</v>
      </c>
      <c r="S72" s="3">
        <f>IF(AND(ISNUMBER(D71),ISNUMBER(D72),ISNUMBER(D73),ISNUMBER(D74),ISNUMBER(D75),ISNUMBER(D76)),IF(AF71=2,AC71,IF(AF72=2,AC72,IF(AF73=2,AC73,IF(AF74=2,AC74,"")))),"")</f>
        <v>2</v>
      </c>
      <c r="T72" s="3">
        <f>IF(AND(ISNUMBER(D71),ISNUMBER(D72),ISNUMBER(D73),ISNUMBER(D74),ISNUMBER(D75),ISNUMBER(D76)),IF(AF71=2,AD71,IF(AF72=2,AD72,IF(AF73=2,AD73,IF(AF74=2,AD74,"")))),"")</f>
        <v>2</v>
      </c>
      <c r="U72" s="3">
        <f>IF(AND(ISNUMBER(D71),ISNUMBER(D72),ISNUMBER(D73),ISNUMBER(D74),ISNUMBER(D75),ISNUMBER(D76)),IF(AF71=2,AE71,IF(AF72=2,AE72,IF(AF73=2,AE73,IF(AF74=2,AE74,"")))),"")</f>
        <v>5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0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2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3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4</v>
      </c>
      <c r="AD72">
        <f>AB72-AC72</f>
        <v>-1</v>
      </c>
      <c r="AE72">
        <f>3*Y72+Z72</f>
        <v>2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3</v>
      </c>
    </row>
    <row r="73" spans="1:32" ht="16.5" customHeight="1" x14ac:dyDescent="0.25">
      <c r="A73" s="3">
        <v>51</v>
      </c>
      <c r="B73" s="3" t="s">
        <v>128</v>
      </c>
      <c r="C73" s="4" t="s">
        <v>129</v>
      </c>
      <c r="D73" s="5">
        <v>3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Senegal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0</v>
      </c>
      <c r="P73" s="3">
        <f>IF(AND(ISNUMBER(D71),ISNUMBER(D72),ISNUMBER(D73),ISNUMBER(D74),ISNUMBER(D75),ISNUMBER(D76)),IF(AF71=3,Z71,IF(AF72=3,Z72,IF(AF73=3,Z73,IF(AF74=3,Z74,"")))),"")</f>
        <v>2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3</v>
      </c>
      <c r="S73" s="3">
        <f>IF(AND(ISNUMBER(D71),ISNUMBER(D72),ISNUMBER(D73),ISNUMBER(D74),ISNUMBER(D75),ISNUMBER(D76)),IF(AF71=3,AC71,IF(AF72=3,AC72,IF(AF73=3,AC73,IF(AF74=3,AC74,"")))),"")</f>
        <v>4</v>
      </c>
      <c r="T73" s="3">
        <f>IF(AND(ISNUMBER(D71),ISNUMBER(D72),ISNUMBER(D73),ISNUMBER(D74),ISNUMBER(D75),ISNUMBER(D76)),IF(AF71=3,AD71,IF(AF72=3,AD72,IF(AF73=3,AD73,IF(AF74=3,AD74,"")))),"")</f>
        <v>-1</v>
      </c>
      <c r="U73" s="3">
        <f>IF(AND(ISNUMBER(D71),ISNUMBER(D72),ISNUMBER(D73),ISNUMBER(D74),ISNUMBER(D75),ISNUMBER(D76)),IF(AF71=3,AE71,IF(AF72=3,AE72,IF(AF73=3,AE73,IF(AF74=3,AE74,"")))),"")</f>
        <v>2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1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2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1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6</v>
      </c>
      <c r="AD73">
        <f>AB73-AC73</f>
        <v>-5</v>
      </c>
      <c r="AE73">
        <f>3*Y73+Z73</f>
        <v>1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 x14ac:dyDescent="0.25">
      <c r="A74" s="10">
        <v>52</v>
      </c>
      <c r="B74" s="10" t="s">
        <v>128</v>
      </c>
      <c r="C74" s="11" t="s">
        <v>132</v>
      </c>
      <c r="D74" s="5">
        <v>1</v>
      </c>
      <c r="E74" s="10" t="s">
        <v>29</v>
      </c>
      <c r="F74" s="5">
        <v>1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1</v>
      </c>
      <c r="Q74" s="3">
        <f>IF(AND(ISNUMBER(D71),ISNUMBER(D72),ISNUMBER(D73),ISNUMBER(D74),ISNUMBER(D75),ISNUMBER(D76)),IF(AF71=4,AA71,IF(AF72=4,AA72,IF(AF73=4,AA73,IF(AF74=4,AA74,"")))),"")</f>
        <v>2</v>
      </c>
      <c r="R74" s="3">
        <f>IF(AND(ISNUMBER(D71),ISNUMBER(D72),ISNUMBER(D73),ISNUMBER(D74),ISNUMBER(D75),ISNUMBER(D76)),IF(AF71=4,AB71,IF(AF72=4,AB72,IF(AF73=4,AB73,IF(AF74=4,AB74,"")))),"")</f>
        <v>1</v>
      </c>
      <c r="S74" s="3">
        <f>IF(AND(ISNUMBER(D71),ISNUMBER(D72),ISNUMBER(D73),ISNUMBER(D74),ISNUMBER(D75),ISNUMBER(D76)),IF(AF71=4,AC71,IF(AF72=4,AC72,IF(AF73=4,AC73,IF(AF74=4,AC74,"")))),"")</f>
        <v>6</v>
      </c>
      <c r="T74" s="3">
        <f>IF(AND(ISNUMBER(D71),ISNUMBER(D72),ISNUMBER(D73),ISNUMBER(D74),ISNUMBER(D75),ISNUMBER(D76)),IF(AF71=4,AD71,IF(AF72=4,AD72,IF(AF73=4,AD73,IF(AF74=4,AD74,"")))),"")</f>
        <v>-5</v>
      </c>
      <c r="U74" s="3">
        <f>IF(AND(ISNUMBER(D71),ISNUMBER(D72),ISNUMBER(D73),ISNUMBER(D74),ISNUMBER(D75),ISNUMBER(D76)),IF(AF71=4,AE71,IF(AF72=4,AE72,IF(AF73=4,AE73,IF(AF74=4,AE74,"")))),"")</f>
        <v>1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2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0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4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2</v>
      </c>
      <c r="AD74">
        <f>AB74-AC74</f>
        <v>2</v>
      </c>
      <c r="AE74">
        <f>3*Y74+Z74</f>
        <v>5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2</v>
      </c>
    </row>
    <row r="75" spans="1:32" ht="16.5" customHeight="1" x14ac:dyDescent="0.25">
      <c r="A75" s="10">
        <v>53</v>
      </c>
      <c r="B75" s="10" t="s">
        <v>128</v>
      </c>
      <c r="C75" s="11" t="s">
        <v>132</v>
      </c>
      <c r="D75" s="5">
        <v>1</v>
      </c>
      <c r="E75" s="10" t="s">
        <v>29</v>
      </c>
      <c r="F75" s="5">
        <v>1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25">
      <c r="A76" s="7">
        <v>54</v>
      </c>
      <c r="B76" s="7" t="s">
        <v>128</v>
      </c>
      <c r="C76" s="8" t="s">
        <v>130</v>
      </c>
      <c r="D76" s="5">
        <v>1</v>
      </c>
      <c r="E76" s="7" t="s">
        <v>29</v>
      </c>
      <c r="F76" s="5">
        <v>1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25">
      <c r="A77" s="60" t="s">
        <v>136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M77" s="61" t="s">
        <v>137</v>
      </c>
      <c r="N77" s="61"/>
      <c r="O77" s="61"/>
      <c r="P77" s="61"/>
      <c r="Q77" s="61"/>
      <c r="R77" s="61"/>
      <c r="S77" s="61"/>
      <c r="T77" s="61"/>
      <c r="U77" s="61"/>
    </row>
    <row r="78" spans="1:32" ht="15.75" customHeight="1" x14ac:dyDescent="0.25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25">
      <c r="A79" s="3">
        <v>55</v>
      </c>
      <c r="B79" s="3" t="s">
        <v>138</v>
      </c>
      <c r="C79" s="4" t="s">
        <v>139</v>
      </c>
      <c r="D79" s="5">
        <v>2</v>
      </c>
      <c r="E79" s="3" t="s">
        <v>29</v>
      </c>
      <c r="F79" s="5">
        <v>0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2</v>
      </c>
      <c r="P79" s="3">
        <f>IF(AND(ISNUMBER(D79),ISNUMBER(D80),ISNUMBER(D81),ISNUMBER(D82),ISNUMBER(D83),ISNUMBER(D84)),IF(AF79=1,Z79,IF(AF80=1,Z80,IF(AF81=1,Z81,IF(AF82=1,Z82,"")))),"")</f>
        <v>1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5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4</v>
      </c>
      <c r="U79" s="3">
        <f>IF(AND(ISNUMBER(D79),ISNUMBER(D80),ISNUMBER(D81),ISNUMBER(D82),ISNUMBER(D83),ISNUMBER(D84)),IF(AF79=1,AE79,IF(AF80=1,AE80,IF(AF81=1,AE81,IF(AF82=1,AE82,"")))),"")</f>
        <v>7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2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1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5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4</v>
      </c>
      <c r="AE79">
        <f>3*Y79+Z79</f>
        <v>7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 x14ac:dyDescent="0.25">
      <c r="A80" s="7">
        <v>56</v>
      </c>
      <c r="B80" s="7" t="s">
        <v>138</v>
      </c>
      <c r="C80" s="8" t="s">
        <v>141</v>
      </c>
      <c r="D80" s="5">
        <v>2</v>
      </c>
      <c r="E80" s="7" t="s">
        <v>29</v>
      </c>
      <c r="F80" s="5">
        <v>0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1</v>
      </c>
      <c r="P80" s="3">
        <f>IF(AND(ISNUMBER(D79),ISNUMBER(D80),ISNUMBER(D81),ISNUMBER(D82),ISNUMBER(D83),ISNUMBER(D84)),IF(AF79=2,Z79,IF(AF80=2,Z80,IF(AF81=2,Z81,IF(AF82=2,Z82,"")))),"")</f>
        <v>2</v>
      </c>
      <c r="Q80" s="3">
        <f>IF(AND(ISNUMBER(D79),ISNUMBER(D80),ISNUMBER(D81),ISNUMBER(D82),ISNUMBER(D83),ISNUMBER(D84)),IF(AF79=2,AA79,IF(AF80=2,AA80,IF(AF81=2,AA81,IF(AF82=2,AA82,"")))),"")</f>
        <v>0</v>
      </c>
      <c r="R80" s="3">
        <f>IF(AND(ISNUMBER(D79),ISNUMBER(D80),ISNUMBER(D81),ISNUMBER(D82),ISNUMBER(D83),ISNUMBER(D84)),IF(AF79=2,AB79,IF(AF80=2,AB80,IF(AF81=2,AB81,IF(AF82=2,AB82,"")))),"")</f>
        <v>4</v>
      </c>
      <c r="S80" s="3">
        <f>IF(AND(ISNUMBER(D79),ISNUMBER(D80),ISNUMBER(D81),ISNUMBER(D82),ISNUMBER(D83),ISNUMBER(D84)),IF(AF79=2,AC79,IF(AF80=2,AC80,IF(AF81=2,AC81,IF(AF82=2,AC82,"")))),"")</f>
        <v>2</v>
      </c>
      <c r="T80" s="3">
        <f>IF(AND(ISNUMBER(D79),ISNUMBER(D80),ISNUMBER(D81),ISNUMBER(D82),ISNUMBER(D83),ISNUMBER(D84)),IF(AF79=2,AD79,IF(AF80=2,AD80,IF(AF81=2,AD81,IF(AF82=2,AD82,"")))),"")</f>
        <v>2</v>
      </c>
      <c r="U80" s="3">
        <f>IF(AND(ISNUMBER(D79),ISNUMBER(D80),ISNUMBER(D81),ISNUMBER(D82),ISNUMBER(D83),ISNUMBER(D84)),IF(AF79=2,AE79,IF(AF80=2,AE80,IF(AF81=2,AE81,IF(AF82=2,AE82,"")))),"")</f>
        <v>5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1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1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3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4</v>
      </c>
      <c r="AD80">
        <f>AB80-AC80</f>
        <v>-1</v>
      </c>
      <c r="AE80">
        <f>3*Y80+Z80</f>
        <v>4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 x14ac:dyDescent="0.25">
      <c r="A81" s="3">
        <v>57</v>
      </c>
      <c r="B81" s="3" t="s">
        <v>138</v>
      </c>
      <c r="C81" s="4" t="s">
        <v>139</v>
      </c>
      <c r="D81" s="5">
        <v>1</v>
      </c>
      <c r="E81" s="3" t="s">
        <v>29</v>
      </c>
      <c r="F81" s="5">
        <v>1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1</v>
      </c>
      <c r="Q81" s="3">
        <f>IF(AND(ISNUMBER(D79),ISNUMBER(D80),ISNUMBER(D81),ISNUMBER(D82),ISNUMBER(D83),ISNUMBER(D84)),IF(AF79=3,AA79,IF(AF80=3,AA80,IF(AF81=3,AA81,IF(AF82=3,AA82,"")))),"")</f>
        <v>1</v>
      </c>
      <c r="R81" s="3">
        <f>IF(AND(ISNUMBER(D79),ISNUMBER(D80),ISNUMBER(D81),ISNUMBER(D82),ISNUMBER(D83),ISNUMBER(D84)),IF(AF79=3,AB79,IF(AF80=3,AB80,IF(AF81=3,AB81,IF(AF82=3,AB82,"")))),"")</f>
        <v>3</v>
      </c>
      <c r="S81" s="3">
        <f>IF(AND(ISNUMBER(D79),ISNUMBER(D80),ISNUMBER(D81),ISNUMBER(D82),ISNUMBER(D83),ISNUMBER(D84)),IF(AF79=3,AC79,IF(AF80=3,AC80,IF(AF81=3,AC81,IF(AF82=3,AC82,"")))),"")</f>
        <v>4</v>
      </c>
      <c r="T81" s="3">
        <f>IF(AND(ISNUMBER(D79),ISNUMBER(D80),ISNUMBER(D81),ISNUMBER(D82),ISNUMBER(D83),ISNUMBER(D84)),IF(AF79=3,AD79,IF(AF80=3,AD80,IF(AF81=3,AD81,IF(AF82=3,AD82,"")))),"")</f>
        <v>-1</v>
      </c>
      <c r="U81" s="3">
        <f>IF(AND(ISNUMBER(D79),ISNUMBER(D80),ISNUMBER(D81),ISNUMBER(D82),ISNUMBER(D83),ISNUMBER(D84)),IF(AF79=3,AE79,IF(AF80=3,AE80,IF(AF81=3,AE81,IF(AF82=3,AE82,"")))),"")</f>
        <v>4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1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2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0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4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2</v>
      </c>
      <c r="AD81">
        <f>AB81-AC81</f>
        <v>2</v>
      </c>
      <c r="AE81">
        <f>3*Y81+Z81</f>
        <v>5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 x14ac:dyDescent="0.25">
      <c r="A82" s="7">
        <v>58</v>
      </c>
      <c r="B82" s="7" t="s">
        <v>138</v>
      </c>
      <c r="C82" s="8" t="s">
        <v>142</v>
      </c>
      <c r="D82" s="5">
        <v>1</v>
      </c>
      <c r="E82" s="7" t="s">
        <v>29</v>
      </c>
      <c r="F82" s="5">
        <v>2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1</v>
      </c>
      <c r="S82" s="3">
        <f>IF(AND(ISNUMBER(D79),ISNUMBER(D80),ISNUMBER(D81),ISNUMBER(D82),ISNUMBER(D83),ISNUMBER(D84)),IF(AF79=4,AC79,IF(AF80=4,AC80,IF(AF81=4,AC81,IF(AF82=4,AC82,"")))),"")</f>
        <v>6</v>
      </c>
      <c r="T82" s="3">
        <f>IF(AND(ISNUMBER(D79),ISNUMBER(D80),ISNUMBER(D81),ISNUMBER(D82),ISNUMBER(D83),ISNUMBER(D84)),IF(AF79=4,AD79,IF(AF80=4,AD80,IF(AF81=4,AD81,IF(AF82=4,AD82,"")))),"")</f>
        <v>-5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1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6</v>
      </c>
      <c r="AD82">
        <f>AB82-AC82</f>
        <v>-5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 x14ac:dyDescent="0.25">
      <c r="A83" s="3">
        <v>59</v>
      </c>
      <c r="B83" s="3" t="s">
        <v>138</v>
      </c>
      <c r="C83" s="4" t="s">
        <v>142</v>
      </c>
      <c r="D83" s="5">
        <v>0</v>
      </c>
      <c r="E83" s="3" t="s">
        <v>29</v>
      </c>
      <c r="F83" s="5">
        <v>2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25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1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25">
      <c r="A85" s="60" t="s">
        <v>143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M85" s="61" t="s">
        <v>144</v>
      </c>
      <c r="N85" s="61"/>
      <c r="O85" s="61"/>
      <c r="P85" s="61"/>
      <c r="Q85" s="61"/>
      <c r="R85" s="61"/>
      <c r="S85" s="61"/>
      <c r="T85" s="61"/>
      <c r="U85" s="61"/>
    </row>
    <row r="86" spans="1:32" ht="15.75" customHeight="1" x14ac:dyDescent="0.25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25">
      <c r="A87" s="3">
        <v>61</v>
      </c>
      <c r="B87" s="3" t="s">
        <v>145</v>
      </c>
      <c r="C87" s="4" t="s">
        <v>146</v>
      </c>
      <c r="D87" s="5">
        <v>2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2</v>
      </c>
      <c r="P87" s="3">
        <f>IF(AND(ISNUMBER(D87),ISNUMBER(D88),ISNUMBER(D89),ISNUMBER(D90),ISNUMBER(D91),ISNUMBER(D92)),IF(AF87=1,Z87,IF(AF88=1,Z88,IF(AF89=1,Z89,IF(AF90=1,Z90,"")))),"")</f>
        <v>1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6</v>
      </c>
      <c r="S87" s="3">
        <f>IF(AND(ISNUMBER(D87),ISNUMBER(D88),ISNUMBER(D89),ISNUMBER(D90),ISNUMBER(D91),ISNUMBER(D92)),IF(AF87=1,AC87,IF(AF88=1,AC88,IF(AF89=1,AC89,IF(AF90=1,AC90,"")))),"")</f>
        <v>2</v>
      </c>
      <c r="T87" s="3">
        <f>IF(AND(ISNUMBER(D87),ISNUMBER(D88),ISNUMBER(D89),ISNUMBER(D90),ISNUMBER(D91),ISNUMBER(D92)),IF(AF87=1,AD87,IF(AF88=1,AD88,IF(AF89=1,AD89,IF(AF90=1,AD90,"")))),"")</f>
        <v>4</v>
      </c>
      <c r="U87" s="3">
        <f>IF(AND(ISNUMBER(D87),ISNUMBER(D88),ISNUMBER(D89),ISNUMBER(D90),ISNUMBER(D91),ISNUMBER(D92)),IF(AF87=1,AE87,IF(AF88=1,AE88,IF(AF89=1,AE89,IF(AF90=1,AE90,"")))),"")</f>
        <v>7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2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1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6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2</v>
      </c>
      <c r="AD87">
        <f>AB87-AC87</f>
        <v>4</v>
      </c>
      <c r="AE87">
        <f>3*Y87+Z87</f>
        <v>7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 x14ac:dyDescent="0.25">
      <c r="A88" s="7">
        <v>62</v>
      </c>
      <c r="B88" s="7" t="s">
        <v>145</v>
      </c>
      <c r="C88" s="8" t="s">
        <v>148</v>
      </c>
      <c r="D88" s="5">
        <v>0</v>
      </c>
      <c r="E88" s="7" t="s">
        <v>29</v>
      </c>
      <c r="F88" s="5">
        <v>2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1</v>
      </c>
      <c r="Q88" s="3">
        <f>IF(AND(ISNUMBER(D87),ISNUMBER(D88),ISNUMBER(D89),ISNUMBER(D90),ISNUMBER(D91),ISNUMBER(D92)),IF(AF87=2,AA87,IF(AF88=2,AA88,IF(AF89=2,AA89,IF(AF90=2,AA90,"")))),"")</f>
        <v>0</v>
      </c>
      <c r="R88" s="3">
        <f>IF(AND(ISNUMBER(D87),ISNUMBER(D88),ISNUMBER(D89),ISNUMBER(D90),ISNUMBER(D91),ISNUMBER(D92)),IF(AF87=2,AB87,IF(AF88=2,AB88,IF(AF89=2,AB89,IF(AF90=2,AB90,"")))),"")</f>
        <v>5</v>
      </c>
      <c r="S88" s="3">
        <f>IF(AND(ISNUMBER(D87),ISNUMBER(D88),ISNUMBER(D89),ISNUMBER(D90),ISNUMBER(D91),ISNUMBER(D92)),IF(AF87=2,AC87,IF(AF88=2,AC88,IF(AF89=2,AC89,IF(AF90=2,AC90,"")))),"")</f>
        <v>1</v>
      </c>
      <c r="T88" s="3">
        <f>IF(AND(ISNUMBER(D87),ISNUMBER(D88),ISNUMBER(D89),ISNUMBER(D90),ISNUMBER(D91),ISNUMBER(D92)),IF(AF87=2,AD87,IF(AF88=2,AD88,IF(AF89=2,AD89,IF(AF90=2,AD90,"")))),"")</f>
        <v>4</v>
      </c>
      <c r="U88" s="3">
        <f>IF(AND(ISNUMBER(D87),ISNUMBER(D88),ISNUMBER(D89),ISNUMBER(D90),ISNUMBER(D91),ISNUMBER(D92)),IF(AF87=2,AE87,IF(AF88=2,AE88,IF(AF89=2,AE89,IF(AF90=2,AE90,"")))),"")</f>
        <v>7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0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1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1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5</v>
      </c>
      <c r="AD88">
        <f>AB88-AC88</f>
        <v>-4</v>
      </c>
      <c r="AE88">
        <f>3*Y88+Z88</f>
        <v>1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4</v>
      </c>
    </row>
    <row r="89" spans="1:32" ht="16.5" customHeight="1" x14ac:dyDescent="0.25">
      <c r="A89" s="3">
        <v>63</v>
      </c>
      <c r="B89" s="3" t="s">
        <v>145</v>
      </c>
      <c r="C89" s="4" t="s">
        <v>146</v>
      </c>
      <c r="D89" s="5">
        <v>3</v>
      </c>
      <c r="E89" s="3" t="s">
        <v>29</v>
      </c>
      <c r="F89" s="5">
        <v>1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Usbekistan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0</v>
      </c>
      <c r="P89" s="3">
        <f>IF(AND(ISNUMBER(D87),ISNUMBER(D88),ISNUMBER(D89),ISNUMBER(D90),ISNUMBER(D91),ISNUMBER(D92)),IF(AF87=3,Z87,IF(AF88=3,Z88,IF(AF89=3,Z89,IF(AF90=3,Z90,"")))),"")</f>
        <v>1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2</v>
      </c>
      <c r="S89" s="3">
        <f>IF(AND(ISNUMBER(D87),ISNUMBER(D88),ISNUMBER(D89),ISNUMBER(D90),ISNUMBER(D91),ISNUMBER(D92)),IF(AF87=3,AC87,IF(AF88=3,AC88,IF(AF89=3,AC89,IF(AF90=3,AC90,"")))),"")</f>
        <v>6</v>
      </c>
      <c r="T89" s="3">
        <f>IF(AND(ISNUMBER(D87),ISNUMBER(D88),ISNUMBER(D89),ISNUMBER(D90),ISNUMBER(D91),ISNUMBER(D92)),IF(AF87=3,AD87,IF(AF88=3,AD88,IF(AF89=3,AD89,IF(AF90=3,AD90,"")))),"")</f>
        <v>-4</v>
      </c>
      <c r="U89" s="3">
        <f>IF(AND(ISNUMBER(D87),ISNUMBER(D88),ISNUMBER(D89),ISNUMBER(D90),ISNUMBER(D91),ISNUMBER(D92)),IF(AF87=3,AE87,IF(AF88=3,AE88,IF(AF89=3,AE89,IF(AF90=3,AE90,"")))),"")</f>
        <v>1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1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2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2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6</v>
      </c>
      <c r="AD89">
        <f>AB89-AC89</f>
        <v>-4</v>
      </c>
      <c r="AE89">
        <f>3*Y89+Z89</f>
        <v>1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3</v>
      </c>
    </row>
    <row r="90" spans="1:32" ht="16.5" customHeight="1" x14ac:dyDescent="0.25">
      <c r="A90" s="7">
        <v>64</v>
      </c>
      <c r="B90" s="7" t="s">
        <v>145</v>
      </c>
      <c r="C90" s="8" t="s">
        <v>149</v>
      </c>
      <c r="D90" s="5">
        <v>2</v>
      </c>
      <c r="E90" s="7" t="s">
        <v>29</v>
      </c>
      <c r="F90" s="5">
        <v>0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DR Kongo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1</v>
      </c>
      <c r="Q90" s="3">
        <f>IF(AND(ISNUMBER(D87),ISNUMBER(D88),ISNUMBER(D89),ISNUMBER(D90),ISNUMBER(D91),ISNUMBER(D92)),IF(AF87=4,AA87,IF(AF88=4,AA88,IF(AF89=4,AA89,IF(AF90=4,AA90,"")))),"")</f>
        <v>2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5</v>
      </c>
      <c r="T90" s="3">
        <f>IF(AND(ISNUMBER(D87),ISNUMBER(D88),ISNUMBER(D89),ISNUMBER(D90),ISNUMBER(D91),ISNUMBER(D92)),IF(AF87=4,AD87,IF(AF88=4,AD88,IF(AF89=4,AD89,IF(AF90=4,AD90,"")))),"")</f>
        <v>-4</v>
      </c>
      <c r="U90" s="3">
        <f>IF(AND(ISNUMBER(D87),ISNUMBER(D88),ISNUMBER(D89),ISNUMBER(D90),ISNUMBER(D91),ISNUMBER(D92)),IF(AF87=4,AE87,IF(AF88=4,AE88,IF(AF89=4,AE89,IF(AF90=4,AE90,"")))),"")</f>
        <v>1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1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0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5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1</v>
      </c>
      <c r="AD90">
        <f>AB90-AC90</f>
        <v>4</v>
      </c>
      <c r="AE90">
        <f>3*Y90+Z90</f>
        <v>7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 x14ac:dyDescent="0.25">
      <c r="A91" s="3">
        <v>65</v>
      </c>
      <c r="B91" s="3" t="s">
        <v>145</v>
      </c>
      <c r="C91" s="4" t="s">
        <v>149</v>
      </c>
      <c r="D91" s="5">
        <v>1</v>
      </c>
      <c r="E91" s="3" t="s">
        <v>29</v>
      </c>
      <c r="F91" s="5">
        <v>1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25">
      <c r="A92" s="7">
        <v>66</v>
      </c>
      <c r="B92" s="7" t="s">
        <v>145</v>
      </c>
      <c r="C92" s="8" t="s">
        <v>147</v>
      </c>
      <c r="D92" s="5">
        <v>1</v>
      </c>
      <c r="E92" s="7" t="s">
        <v>29</v>
      </c>
      <c r="F92" s="5">
        <v>1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25">
      <c r="A93" s="60" t="s">
        <v>151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M93" s="61" t="s">
        <v>152</v>
      </c>
      <c r="N93" s="61"/>
      <c r="O93" s="61"/>
      <c r="P93" s="61"/>
      <c r="Q93" s="61"/>
      <c r="R93" s="61"/>
      <c r="S93" s="61"/>
      <c r="T93" s="61"/>
      <c r="U93" s="61"/>
    </row>
    <row r="94" spans="1:32" ht="15.75" customHeight="1" x14ac:dyDescent="0.25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25">
      <c r="A95" s="3">
        <v>67</v>
      </c>
      <c r="B95" s="3" t="s">
        <v>153</v>
      </c>
      <c r="C95" s="4" t="s">
        <v>154</v>
      </c>
      <c r="D95" s="5">
        <v>1</v>
      </c>
      <c r="E95" s="3" t="s">
        <v>29</v>
      </c>
      <c r="F95" s="5">
        <v>1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5</v>
      </c>
      <c r="S95" s="3">
        <f>IF(AND(ISNUMBER(D95),ISNUMBER(D96),ISNUMBER(D97),ISNUMBER(D98),ISNUMBER(D99),ISNUMBER(D100)),IF(AF95=1,AC95,IF(AF96=1,AC96,IF(AF97=1,AC97,IF(AF98=1,AC98,"")))),"")</f>
        <v>2</v>
      </c>
      <c r="T95" s="3">
        <f>IF(AND(ISNUMBER(D95),ISNUMBER(D96),ISNUMBER(D97),ISNUMBER(D98),ISNUMBER(D99),ISNUMBER(D100)),IF(AF95=1,AD95,IF(AF96=1,AD96,IF(AF97=1,AD97,IF(AF98=1,AD98,"")))),"")</f>
        <v>3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2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1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5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2</v>
      </c>
      <c r="AD95">
        <f>AB95-AC95</f>
        <v>3</v>
      </c>
      <c r="AE95">
        <f>3*Y95+Z95</f>
        <v>7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 x14ac:dyDescent="0.25">
      <c r="A96" s="7">
        <v>68</v>
      </c>
      <c r="B96" s="7" t="s">
        <v>153</v>
      </c>
      <c r="C96" s="8" t="s">
        <v>156</v>
      </c>
      <c r="D96" s="5">
        <v>2</v>
      </c>
      <c r="E96" s="7" t="s">
        <v>29</v>
      </c>
      <c r="F96" s="5">
        <v>0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1</v>
      </c>
      <c r="P96" s="3">
        <f>IF(AND(ISNUMBER(D95),ISNUMBER(D96),ISNUMBER(D97),ISNUMBER(D98),ISNUMBER(D99),ISNUMBER(D100)),IF(AF95=2,Z95,IF(AF96=2,Z96,IF(AF97=2,Z97,IF(AF98=2,Z98,"")))),"")</f>
        <v>2</v>
      </c>
      <c r="Q96" s="3">
        <f>IF(AND(ISNUMBER(D95),ISNUMBER(D96),ISNUMBER(D97),ISNUMBER(D98),ISNUMBER(D99),ISNUMBER(D100)),IF(AF95=2,AA95,IF(AF96=2,AA96,IF(AF97=2,AA97,IF(AF98=2,AA98,"")))),"")</f>
        <v>0</v>
      </c>
      <c r="R96" s="3">
        <f>IF(AND(ISNUMBER(D95),ISNUMBER(D96),ISNUMBER(D97),ISNUMBER(D98),ISNUMBER(D99),ISNUMBER(D100)),IF(AF95=2,AB95,IF(AF96=2,AB96,IF(AF97=2,AB97,IF(AF98=2,AB98,"")))),"")</f>
        <v>4</v>
      </c>
      <c r="S96" s="3">
        <f>IF(AND(ISNUMBER(D95),ISNUMBER(D96),ISNUMBER(D97),ISNUMBER(D98),ISNUMBER(D99),ISNUMBER(D100)),IF(AF95=2,AC95,IF(AF96=2,AC96,IF(AF97=2,AC97,IF(AF98=2,AC98,"")))),"")</f>
        <v>2</v>
      </c>
      <c r="T96" s="3">
        <f>IF(AND(ISNUMBER(D95),ISNUMBER(D96),ISNUMBER(D97),ISNUMBER(D98),ISNUMBER(D99),ISNUMBER(D100)),IF(AF95=2,AD95,IF(AF96=2,AD96,IF(AF97=2,AD97,IF(AF98=2,AD98,"")))),"")</f>
        <v>2</v>
      </c>
      <c r="U96" s="3">
        <f>IF(AND(ISNUMBER(D95),ISNUMBER(D96),ISNUMBER(D97),ISNUMBER(D98),ISNUMBER(D99),ISNUMBER(D100)),IF(AF95=2,AE95,IF(AF96=2,AE96,IF(AF97=2,AE97,IF(AF98=2,AE98,"")))),"")</f>
        <v>5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1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2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0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4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2</v>
      </c>
      <c r="AD96">
        <f>AB96-AC96</f>
        <v>2</v>
      </c>
      <c r="AE96">
        <f>3*Y96+Z96</f>
        <v>5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 x14ac:dyDescent="0.25">
      <c r="A97" s="3">
        <v>69</v>
      </c>
      <c r="B97" s="3" t="s">
        <v>153</v>
      </c>
      <c r="C97" s="4" t="s">
        <v>154</v>
      </c>
      <c r="D97" s="5">
        <v>2</v>
      </c>
      <c r="E97" s="3" t="s">
        <v>29</v>
      </c>
      <c r="F97" s="5">
        <v>1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1</v>
      </c>
      <c r="Q97" s="3">
        <f>IF(AND(ISNUMBER(D95),ISNUMBER(D96),ISNUMBER(D97),ISNUMBER(D98),ISNUMBER(D99),ISNUMBER(D100)),IF(AF95=3,AA95,IF(AF96=3,AA96,IF(AF97=3,AA97,IF(AF98=3,AA98,"")))),"")</f>
        <v>1</v>
      </c>
      <c r="R97" s="3">
        <f>IF(AND(ISNUMBER(D95),ISNUMBER(D96),ISNUMBER(D97),ISNUMBER(D98),ISNUMBER(D99),ISNUMBER(D100)),IF(AF95=3,AB95,IF(AF96=3,AB96,IF(AF97=3,AB97,IF(AF98=3,AB98,"")))),"")</f>
        <v>4</v>
      </c>
      <c r="S97" s="3">
        <f>IF(AND(ISNUMBER(D95),ISNUMBER(D96),ISNUMBER(D97),ISNUMBER(D98),ISNUMBER(D99),ISNUMBER(D100)),IF(AF95=3,AC95,IF(AF96=3,AC96,IF(AF97=3,AC97,IF(AF98=3,AC98,"")))),"")</f>
        <v>3</v>
      </c>
      <c r="T97" s="3">
        <f>IF(AND(ISNUMBER(D95),ISNUMBER(D96),ISNUMBER(D97),ISNUMBER(D98),ISNUMBER(D99),ISNUMBER(D100)),IF(AF95=3,AD95,IF(AF96=3,AD96,IF(AF97=3,AD97,IF(AF98=3,AD98,"")))),"")</f>
        <v>1</v>
      </c>
      <c r="U97" s="3">
        <f>IF(AND(ISNUMBER(D95),ISNUMBER(D96),ISNUMBER(D97),ISNUMBER(D98),ISNUMBER(D99),ISNUMBER(D100)),IF(AF95=3,AE95,IF(AF96=3,AE96,IF(AF97=3,AE97,IF(AF98=3,AE98,"")))),"")</f>
        <v>4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1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1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4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3</v>
      </c>
      <c r="AD97">
        <f>AB97-AC97</f>
        <v>1</v>
      </c>
      <c r="AE97">
        <f>3*Y97+Z97</f>
        <v>4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 x14ac:dyDescent="0.25">
      <c r="A98" s="7">
        <v>70</v>
      </c>
      <c r="B98" s="7" t="s">
        <v>153</v>
      </c>
      <c r="C98" s="8" t="s">
        <v>157</v>
      </c>
      <c r="D98" s="5">
        <v>0</v>
      </c>
      <c r="E98" s="7" t="s">
        <v>29</v>
      </c>
      <c r="F98" s="5">
        <v>2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0</v>
      </c>
      <c r="Q98" s="3">
        <f>IF(AND(ISNUMBER(D95),ISNUMBER(D96),ISNUMBER(D97),ISNUMBER(D98),ISNUMBER(D99),ISNUMBER(D100)),IF(AF95=4,AA95,IF(AF96=4,AA96,IF(AF97=4,AA97,IF(AF98=4,AA98,"")))),"")</f>
        <v>3</v>
      </c>
      <c r="R98" s="3">
        <f>IF(AND(ISNUMBER(D95),ISNUMBER(D96),ISNUMBER(D97),ISNUMBER(D98),ISNUMBER(D99),ISNUMBER(D100)),IF(AF95=4,AB95,IF(AF96=4,AB96,IF(AF97=4,AB97,IF(AF98=4,AB98,"")))),"")</f>
        <v>0</v>
      </c>
      <c r="S98" s="3">
        <f>IF(AND(ISNUMBER(D95),ISNUMBER(D96),ISNUMBER(D97),ISNUMBER(D98),ISNUMBER(D99),ISNUMBER(D100)),IF(AF95=4,AC95,IF(AF96=4,AC96,IF(AF97=4,AC97,IF(AF98=4,AC98,"")))),"")</f>
        <v>6</v>
      </c>
      <c r="T98" s="3">
        <f>IF(AND(ISNUMBER(D95),ISNUMBER(D96),ISNUMBER(D97),ISNUMBER(D98),ISNUMBER(D99),ISNUMBER(D100)),IF(AF95=4,AD95,IF(AF96=4,AD96,IF(AF97=4,AD97,IF(AF98=4,AD98,"")))),"")</f>
        <v>-6</v>
      </c>
      <c r="U98" s="3">
        <f>IF(AND(ISNUMBER(D95),ISNUMBER(D96),ISNUMBER(D97),ISNUMBER(D98),ISNUMBER(D99),ISNUMBER(D100)),IF(AF95=4,AE95,IF(AF96=4,AE96,IF(AF97=4,AE97,IF(AF98=4,AE98,"")))),"")</f>
        <v>0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0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3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0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6</v>
      </c>
      <c r="AD98">
        <f>AB98-AC98</f>
        <v>-6</v>
      </c>
      <c r="AE98">
        <f>3*Y98+Z98</f>
        <v>0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 x14ac:dyDescent="0.25">
      <c r="A99" s="3">
        <v>71</v>
      </c>
      <c r="B99" s="3" t="s">
        <v>153</v>
      </c>
      <c r="C99" s="4" t="s">
        <v>157</v>
      </c>
      <c r="D99" s="5">
        <v>0</v>
      </c>
      <c r="E99" s="3" t="s">
        <v>29</v>
      </c>
      <c r="F99" s="5">
        <v>2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25">
      <c r="A100" s="7">
        <v>72</v>
      </c>
      <c r="B100" s="7" t="s">
        <v>153</v>
      </c>
      <c r="C100" s="8" t="s">
        <v>155</v>
      </c>
      <c r="D100" s="5">
        <v>1</v>
      </c>
      <c r="E100" s="7" t="s">
        <v>29</v>
      </c>
      <c r="F100" s="5">
        <v>1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25">
      <c r="A101" s="12"/>
      <c r="B101" s="12"/>
      <c r="C101" s="12"/>
      <c r="D101" s="12"/>
      <c r="E101" s="12"/>
      <c r="F101" s="12"/>
      <c r="G101" s="12"/>
      <c r="H101" s="67" t="s">
        <v>158</v>
      </c>
      <c r="I101" s="67"/>
      <c r="J101" s="67"/>
      <c r="K101" s="67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3" t="s">
        <v>159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25">
      <c r="A103" s="12"/>
      <c r="B103" s="12"/>
      <c r="C103" s="12"/>
      <c r="D103" s="12"/>
      <c r="E103" s="12"/>
      <c r="F103" s="12"/>
      <c r="G103" s="12"/>
      <c r="H103" s="14"/>
      <c r="I103" s="68" t="s">
        <v>160</v>
      </c>
      <c r="J103" s="68"/>
      <c r="K103" s="68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25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25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25">
      <c r="A106" s="12"/>
      <c r="B106" s="12"/>
      <c r="C106" s="12"/>
      <c r="D106" s="12"/>
      <c r="E106" s="12"/>
      <c r="F106" s="12"/>
      <c r="G106" s="12"/>
      <c r="H106" s="21"/>
      <c r="I106" s="22" t="str">
        <f>IFERROR(M8,"A2")</f>
        <v>Sør-Korea</v>
      </c>
      <c r="J106" s="12" t="str">
        <f>IF(H106=1,COUNTIF($H$105:H106,1),"")</f>
        <v/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25">
      <c r="A107" s="12"/>
      <c r="B107" s="12"/>
      <c r="C107" s="12"/>
      <c r="D107" s="12"/>
      <c r="E107" s="12"/>
      <c r="F107" s="12"/>
      <c r="G107" s="12"/>
      <c r="H107" s="18">
        <v>1</v>
      </c>
      <c r="I107" s="19" t="str">
        <f>IFERROR(M15,"B1")</f>
        <v>Sveits</v>
      </c>
      <c r="J107" s="12">
        <f>IF(H107=1,COUNTIF($H$105:H107,1),"")</f>
        <v>2</v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25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Bosnia-Hercegovina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25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Brasil</v>
      </c>
      <c r="J109" s="12">
        <f>IF(H109=1,COUNTIF($H$105:H109,1),"")</f>
        <v>3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25">
      <c r="A110" s="12"/>
      <c r="B110" s="12"/>
      <c r="C110" s="12"/>
      <c r="D110" s="12"/>
      <c r="E110" s="12"/>
      <c r="F110" s="12"/>
      <c r="G110" s="12"/>
      <c r="H110" s="21"/>
      <c r="I110" s="22" t="str">
        <f>IFERROR(M24,"C2")</f>
        <v>Marokko</v>
      </c>
      <c r="J110" s="12" t="str">
        <f>IF(H110=1,COUNTIF($H$105:H110,1),"")</f>
        <v/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25">
      <c r="A111" s="12"/>
      <c r="B111" s="12"/>
      <c r="C111" s="12"/>
      <c r="D111" s="12"/>
      <c r="E111" s="12"/>
      <c r="F111" s="12"/>
      <c r="G111" s="12"/>
      <c r="H111" s="18">
        <v>1</v>
      </c>
      <c r="I111" s="19" t="str">
        <f>IFERROR(M31,"D1")</f>
        <v>Tyrkia</v>
      </c>
      <c r="J111" s="12">
        <f>IF(H111=1,COUNTIF($H$105:H111,1),"")</f>
        <v>4</v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25">
      <c r="A112" s="12"/>
      <c r="B112" s="12"/>
      <c r="C112" s="12"/>
      <c r="D112" s="12"/>
      <c r="E112" s="12"/>
      <c r="F112" s="12"/>
      <c r="G112" s="12"/>
      <c r="H112" s="21">
        <v>1</v>
      </c>
      <c r="I112" s="22" t="str">
        <f>IFERROR(M32,"D2")</f>
        <v>USA</v>
      </c>
      <c r="J112" s="12">
        <f>IF(H112=1,COUNTIF($H$105:H112,1),"")</f>
        <v>5</v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25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f>IF(H113=1,COUNTIF($H$105:H113,1),"")</f>
        <v>6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25">
      <c r="A114" s="12"/>
      <c r="B114" s="12"/>
      <c r="C114" s="12"/>
      <c r="D114" s="12"/>
      <c r="E114" s="12"/>
      <c r="F114" s="12"/>
      <c r="G114" s="12"/>
      <c r="H114" s="21"/>
      <c r="I114" s="22" t="str">
        <f>IFERROR(M40,"E2")</f>
        <v>Elfenbenskysten</v>
      </c>
      <c r="J114" s="12" t="str">
        <f>IF(H114=1,COUNTIF($H$105:H114,1),"")</f>
        <v/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25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f>IF(H115=1,COUNTIF($H$105:H115,1),"")</f>
        <v>7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25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Tunisia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25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f>IF(H117=1,COUNTIF($H$105:H117,1),"")</f>
        <v>8</v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25">
      <c r="A118" s="12"/>
      <c r="B118" s="12"/>
      <c r="C118" s="12"/>
      <c r="D118" s="12"/>
      <c r="E118" s="12"/>
      <c r="F118" s="12"/>
      <c r="G118" s="12"/>
      <c r="H118" s="21"/>
      <c r="I118" s="22" t="str">
        <f>IFERROR(M56,"G2")</f>
        <v>New Zealand</v>
      </c>
      <c r="J118" s="12" t="str">
        <f>IF(H118=1,COUNTIF($H$105:H118,1),"")</f>
        <v/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25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f>IF(H119=1,COUNTIF($H$105:H119,1),"")</f>
        <v>9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25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25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f>IF(H121=1,COUNTIF($H$105:H121,1),"")</f>
        <v>10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25">
      <c r="A122" s="12"/>
      <c r="B122" s="12"/>
      <c r="C122" s="12"/>
      <c r="D122" s="12"/>
      <c r="E122" s="12"/>
      <c r="F122" s="12"/>
      <c r="G122" s="12"/>
      <c r="H122" s="21">
        <v>1</v>
      </c>
      <c r="I122" s="22" t="str">
        <f>IFERROR(M72,"I2")</f>
        <v>Norge</v>
      </c>
      <c r="J122" s="12">
        <f>IF(H122=1,COUNTIF($H$105:H122,1),"")</f>
        <v>11</v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25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f>IF(H123=1,COUNTIF($H$105:H123,1),"")</f>
        <v>12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25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25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f>IF(H125=1,COUNTIF($H$105:H125,1),"")</f>
        <v>13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25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25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f>IF(H127=1,COUNTIF($H$105:H127,1),"")</f>
        <v>14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25">
      <c r="A128" s="12"/>
      <c r="B128" s="12"/>
      <c r="C128" s="12"/>
      <c r="D128" s="12"/>
      <c r="E128" s="12"/>
      <c r="F128" s="12"/>
      <c r="G128" s="12"/>
      <c r="H128" s="21">
        <v>1</v>
      </c>
      <c r="I128" s="22" t="str">
        <f>IFERROR(M96,"L2")</f>
        <v>Kroatia</v>
      </c>
      <c r="J128" s="12">
        <f>IF(H128=1,COUNTIF($H$105:H128,1),"")</f>
        <v>15</v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25">
      <c r="A129" s="12"/>
      <c r="B129" s="12"/>
      <c r="C129" s="12"/>
      <c r="D129" s="12"/>
      <c r="E129" s="12"/>
      <c r="F129" s="12"/>
      <c r="G129" s="12"/>
      <c r="H129" s="18"/>
      <c r="I129" s="19" t="str">
        <f>IFERROR(INDEX($A$300:$A$311,MATCH(1,$E$300:$E$311,0)),"")</f>
        <v>Ecuador</v>
      </c>
      <c r="J129" s="12" t="str">
        <f>IF(H129=1,COUNTIF($H$105:H129,1),"")</f>
        <v/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25">
      <c r="A130" s="12"/>
      <c r="B130" s="12"/>
      <c r="C130" s="12"/>
      <c r="D130" s="12"/>
      <c r="E130" s="12"/>
      <c r="F130" s="12"/>
      <c r="G130" s="12"/>
      <c r="H130" s="21"/>
      <c r="I130" s="22" t="str">
        <f>IFERROR(INDEX($A$300:$A$311,MATCH(2,$E$300:$E$311,0)),"")</f>
        <v>Ghana</v>
      </c>
      <c r="J130" s="12" t="str">
        <f>IF(H130=1,COUNTIF($H$105:H130,1),"")</f>
        <v/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25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Egypt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25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Algerie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25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Canada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25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Saudi Arabia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25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Skottland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25">
      <c r="A136" s="12"/>
      <c r="B136" s="12"/>
      <c r="C136" s="12"/>
      <c r="D136" s="12"/>
      <c r="E136" s="12"/>
      <c r="F136" s="12"/>
      <c r="G136" s="12"/>
      <c r="H136" s="21">
        <v>1</v>
      </c>
      <c r="I136" s="22" t="str">
        <f>IFERROR(INDEX($A$300:$A$311,MATCH(8,$E$300:$E$311,0)),"")</f>
        <v>Senegal</v>
      </c>
      <c r="J136" s="12">
        <f>IF(H136=1,COUNTIF($H$105:H136,1),"")</f>
        <v>16</v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25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25">
      <c r="A138" s="12"/>
      <c r="B138" s="12"/>
      <c r="C138" s="12"/>
      <c r="D138" s="12"/>
      <c r="E138" s="12"/>
      <c r="F138" s="12"/>
      <c r="G138" s="12"/>
      <c r="H138" s="25"/>
      <c r="I138" s="69" t="s">
        <v>161</v>
      </c>
      <c r="J138" s="69"/>
      <c r="K138" s="69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25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25">
      <c r="A140" s="12"/>
      <c r="B140" s="12"/>
      <c r="C140" s="12"/>
      <c r="D140" s="12"/>
      <c r="E140" s="12"/>
      <c r="F140" s="12"/>
      <c r="G140" s="12"/>
      <c r="H140" s="26"/>
      <c r="I140" s="27" t="str">
        <f>IFERROR(INDEX($I$105:$I$136,MATCH(1,$J$105:$J$136,0)),"")</f>
        <v>Mexico</v>
      </c>
      <c r="J140" s="12" t="str">
        <f>IF(H140=1,COUNTIF($H$140:H140,1),"")</f>
        <v/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25">
      <c r="A141" s="12"/>
      <c r="B141" s="12"/>
      <c r="C141" s="12"/>
      <c r="D141" s="12"/>
      <c r="E141" s="12"/>
      <c r="F141" s="12"/>
      <c r="G141" s="12"/>
      <c r="H141" s="29">
        <v>1</v>
      </c>
      <c r="I141" s="30" t="str">
        <f>IFERROR(INDEX($I$105:$I$136,MATCH(2,$J$105:$J$136,0)),"")</f>
        <v>Sveits</v>
      </c>
      <c r="J141" s="12">
        <f>IF(H141=1,COUNTIF($H$140:H141,1),"")</f>
        <v>1</v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25">
      <c r="A142" s="12"/>
      <c r="B142" s="12"/>
      <c r="C142" s="12"/>
      <c r="D142" s="12"/>
      <c r="E142" s="12"/>
      <c r="F142" s="12"/>
      <c r="G142" s="12"/>
      <c r="H142" s="26"/>
      <c r="I142" s="27" t="str">
        <f>IFERROR(INDEX($I$105:$I$136,MATCH(3,$J$105:$J$136,0)),"")</f>
        <v>Brasil</v>
      </c>
      <c r="J142" s="12" t="str">
        <f>IF(H142=1,COUNTIF($H$140:H142,1),"")</f>
        <v/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25">
      <c r="A143" s="12"/>
      <c r="B143" s="12"/>
      <c r="C143" s="12"/>
      <c r="D143" s="12"/>
      <c r="E143" s="12"/>
      <c r="F143" s="12"/>
      <c r="G143" s="12"/>
      <c r="H143" s="29">
        <v>1</v>
      </c>
      <c r="I143" s="30" t="str">
        <f>IFERROR(INDEX($I$105:$I$136,MATCH(4,$J$105:$J$136,0)),"")</f>
        <v>Tyrkia</v>
      </c>
      <c r="J143" s="12">
        <f>IF(H143=1,COUNTIF($H$140:H143,1),"")</f>
        <v>2</v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25">
      <c r="A144" s="12"/>
      <c r="B144" s="12"/>
      <c r="C144" s="12"/>
      <c r="D144" s="12"/>
      <c r="E144" s="12"/>
      <c r="F144" s="12"/>
      <c r="G144" s="12"/>
      <c r="H144" s="26"/>
      <c r="I144" s="27" t="str">
        <f>IFERROR(INDEX($I$105:$I$136,MATCH(5,$J$105:$J$136,0)),"")</f>
        <v>USA</v>
      </c>
      <c r="J144" s="12" t="str">
        <f>IF(H144=1,COUNTIF($H$140:H144,1),"")</f>
        <v/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25">
      <c r="A145" s="12"/>
      <c r="B145" s="12"/>
      <c r="C145" s="12"/>
      <c r="D145" s="12"/>
      <c r="E145" s="12"/>
      <c r="F145" s="12"/>
      <c r="G145" s="12"/>
      <c r="H145" s="29">
        <v>1</v>
      </c>
      <c r="I145" s="30" t="str">
        <f>IFERROR(INDEX($I$105:$I$136,MATCH(6,$J$105:$J$136,0)),"")</f>
        <v>Tyskland</v>
      </c>
      <c r="J145" s="12">
        <f>IF(H145=1,COUNTIF($H$140:H145,1),"")</f>
        <v>3</v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25">
      <c r="A146" s="12"/>
      <c r="B146" s="12"/>
      <c r="C146" s="12"/>
      <c r="D146" s="12"/>
      <c r="E146" s="12"/>
      <c r="F146" s="12"/>
      <c r="G146" s="12"/>
      <c r="H146" s="26">
        <v>0</v>
      </c>
      <c r="I146" s="27" t="str">
        <f>IFERROR(INDEX($I$105:$I$136,MATCH(7,$J$105:$J$136,0)),"")</f>
        <v>Nederland</v>
      </c>
      <c r="J146" s="12" t="str">
        <f>IF(H146=1,COUNTIF($H$140:H146,1),"")</f>
        <v/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25">
      <c r="A147" s="12"/>
      <c r="B147" s="12"/>
      <c r="C147" s="12"/>
      <c r="D147" s="12"/>
      <c r="E147" s="12"/>
      <c r="F147" s="12"/>
      <c r="G147" s="12"/>
      <c r="H147" s="29">
        <v>1</v>
      </c>
      <c r="I147" s="30" t="str">
        <f>IFERROR(INDEX($I$105:$I$136,MATCH(8,$J$105:$J$136,0)),"")</f>
        <v>Belgia</v>
      </c>
      <c r="J147" s="12">
        <f>IF(H147=1,COUNTIF($H$140:H147,1),"")</f>
        <v>4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25">
      <c r="A148" s="12"/>
      <c r="B148" s="12"/>
      <c r="C148" s="12"/>
      <c r="D148" s="12"/>
      <c r="E148" s="12"/>
      <c r="F148" s="12"/>
      <c r="G148" s="12"/>
      <c r="H148" s="26">
        <v>1</v>
      </c>
      <c r="I148" s="27" t="str">
        <f>IFERROR(INDEX($I$105:$I$136,MATCH(9,$J$105:$J$136,0)),"")</f>
        <v>Spania</v>
      </c>
      <c r="J148" s="12">
        <f>IF(H148=1,COUNTIF($H$140:H148,1),"")</f>
        <v>5</v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25">
      <c r="A149" s="12"/>
      <c r="B149" s="12"/>
      <c r="C149" s="12"/>
      <c r="D149" s="12"/>
      <c r="E149" s="12"/>
      <c r="F149" s="12"/>
      <c r="G149" s="12"/>
      <c r="H149" s="29">
        <v>1</v>
      </c>
      <c r="I149" s="30" t="str">
        <f>IFERROR(INDEX($I$105:$I$136,MATCH(10,$J$105:$J$136,0)),"")</f>
        <v>Frankrike</v>
      </c>
      <c r="J149" s="12">
        <f>IF(H149=1,COUNTIF($H$140:H149,1),"")</f>
        <v>6</v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25">
      <c r="A150" s="12"/>
      <c r="B150" s="12"/>
      <c r="C150" s="12"/>
      <c r="D150" s="12"/>
      <c r="E150" s="12"/>
      <c r="F150" s="12"/>
      <c r="G150" s="12"/>
      <c r="H150" s="26"/>
      <c r="I150" s="27" t="str">
        <f>IFERROR(INDEX($I$105:$I$136,MATCH(11,$J$105:$J$136,0)),"")</f>
        <v>Norge</v>
      </c>
      <c r="J150" s="12" t="str">
        <f>IF(H150=1,COUNTIF($H$140:H150,1),"")</f>
        <v/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25">
      <c r="A151" s="12"/>
      <c r="B151" s="12"/>
      <c r="C151" s="12"/>
      <c r="D151" s="12"/>
      <c r="E151" s="12"/>
      <c r="F151" s="12"/>
      <c r="G151" s="12"/>
      <c r="H151" s="29"/>
      <c r="I151" s="30" t="str">
        <f>IFERROR(INDEX($I$105:$I$136,MATCH(12,$J$105:$J$136,0)),"")</f>
        <v>Argentina</v>
      </c>
      <c r="J151" s="12" t="str">
        <f>IF(H151=1,COUNTIF($H$140:H151,1),"")</f>
        <v/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25">
      <c r="A152" s="12"/>
      <c r="B152" s="12"/>
      <c r="C152" s="12"/>
      <c r="D152" s="12"/>
      <c r="E152" s="12"/>
      <c r="F152" s="12"/>
      <c r="G152" s="12"/>
      <c r="H152" s="26">
        <v>1</v>
      </c>
      <c r="I152" s="27" t="str">
        <f>IFERROR(INDEX($I$105:$I$136,MATCH(13,$J$105:$J$136,0)),"")</f>
        <v>Portugal</v>
      </c>
      <c r="J152" s="12">
        <f>IF(H152=1,COUNTIF($H$140:H152,1),"")</f>
        <v>7</v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25">
      <c r="A153" s="12"/>
      <c r="B153" s="12"/>
      <c r="C153" s="12"/>
      <c r="D153" s="12"/>
      <c r="E153" s="12"/>
      <c r="F153" s="12"/>
      <c r="G153" s="12"/>
      <c r="H153" s="29"/>
      <c r="I153" s="30" t="str">
        <f>IFERROR(INDEX($I$105:$I$136,MATCH(14,$J$105:$J$136,0)),"")</f>
        <v>England</v>
      </c>
      <c r="J153" s="12" t="str">
        <f>IF(H153=1,COUNTIF($H$140:H153,1),"")</f>
        <v/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25">
      <c r="A154" s="12"/>
      <c r="B154" s="12"/>
      <c r="C154" s="12"/>
      <c r="D154" s="12"/>
      <c r="E154" s="12"/>
      <c r="F154" s="12"/>
      <c r="G154" s="12"/>
      <c r="H154" s="26"/>
      <c r="I154" s="27" t="str">
        <f>IFERROR(INDEX($I$105:$I$136,MATCH(15,$J$105:$J$136,0)),"")</f>
        <v>Kroatia</v>
      </c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25">
      <c r="A155" s="12"/>
      <c r="B155" s="12"/>
      <c r="C155" s="12"/>
      <c r="D155" s="12"/>
      <c r="E155" s="12"/>
      <c r="F155" s="12"/>
      <c r="G155" s="12"/>
      <c r="H155" s="29">
        <v>1</v>
      </c>
      <c r="I155" s="30" t="str">
        <f>IFERROR(INDEX($I$105:$I$136,MATCH(16,$J$105:$J$136,0)),"")</f>
        <v>Senegal</v>
      </c>
      <c r="J155" s="12">
        <f>IF(H155=1,COUNTIF($H$140:H155,1),"")</f>
        <v>8</v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25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25">
      <c r="A157" s="12"/>
      <c r="B157" s="12"/>
      <c r="C157" s="12"/>
      <c r="D157" s="12"/>
      <c r="E157" s="12"/>
      <c r="F157" s="12"/>
      <c r="G157" s="12"/>
      <c r="H157" s="32"/>
      <c r="I157" s="64" t="s">
        <v>162</v>
      </c>
      <c r="J157" s="64"/>
      <c r="K157" s="64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25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25">
      <c r="A159" s="12"/>
      <c r="B159" s="12"/>
      <c r="C159" s="12"/>
      <c r="D159" s="12"/>
      <c r="E159" s="12"/>
      <c r="F159" s="12"/>
      <c r="G159" s="12"/>
      <c r="H159" s="33"/>
      <c r="I159" s="34" t="str">
        <f>IFERROR(INDEX($I$140:$I$155,MATCH(1,$J$140:$J$155,0)),"")</f>
        <v>Sveits</v>
      </c>
      <c r="J159" s="12" t="str">
        <f>IF(H159=1,COUNTIF($H$159:H159,1),"")</f>
        <v/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25">
      <c r="A160" s="12"/>
      <c r="B160" s="12"/>
      <c r="C160" s="12"/>
      <c r="D160" s="12"/>
      <c r="E160" s="12"/>
      <c r="F160" s="12"/>
      <c r="G160" s="12"/>
      <c r="H160" s="36"/>
      <c r="I160" s="37" t="str">
        <f>IFERROR(INDEX($I$140:$I$155,MATCH(2,$J$140:$J$155,0)),"")</f>
        <v>Tyrkia</v>
      </c>
      <c r="J160" s="12" t="str">
        <f>IF(H160=1,COUNTIF($H$159:H160,1),"")</f>
        <v/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25">
      <c r="A161" s="12"/>
      <c r="B161" s="12"/>
      <c r="C161" s="12"/>
      <c r="D161" s="12"/>
      <c r="E161" s="12"/>
      <c r="F161" s="12"/>
      <c r="G161" s="12"/>
      <c r="H161" s="33"/>
      <c r="I161" s="34" t="str">
        <f>IFERROR(INDEX($I$140:$I$155,MATCH(3,$J$140:$J$155,0)),"")</f>
        <v>Tyskland</v>
      </c>
      <c r="J161" s="12" t="str">
        <f>IF(H161=1,COUNTIF($H$159:H161,1),"")</f>
        <v/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25">
      <c r="A162" s="12"/>
      <c r="B162" s="12"/>
      <c r="C162" s="12"/>
      <c r="D162" s="12"/>
      <c r="E162" s="12"/>
      <c r="F162" s="12"/>
      <c r="G162" s="12"/>
      <c r="H162" s="36"/>
      <c r="I162" s="37" t="str">
        <f>IFERROR(INDEX($I$140:$I$155,MATCH(4,$J$140:$J$155,0)),"")</f>
        <v>Belgia</v>
      </c>
      <c r="J162" s="12" t="str">
        <f>IF(H162=1,COUNTIF($H$159:H162,1),"")</f>
        <v/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25">
      <c r="A163" s="12"/>
      <c r="B163" s="12"/>
      <c r="C163" s="12"/>
      <c r="D163" s="12"/>
      <c r="E163" s="12"/>
      <c r="F163" s="12"/>
      <c r="G163" s="12"/>
      <c r="H163" s="33">
        <v>1</v>
      </c>
      <c r="I163" s="34" t="str">
        <f>IFERROR(INDEX($I$140:$I$155,MATCH(5,$J$140:$J$155,0)),"")</f>
        <v>Spania</v>
      </c>
      <c r="J163" s="12">
        <f>IF(H163=1,COUNTIF($H$159:H163,1),"")</f>
        <v>1</v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25">
      <c r="A164" s="12"/>
      <c r="B164" s="12"/>
      <c r="C164" s="12"/>
      <c r="D164" s="12"/>
      <c r="E164" s="12"/>
      <c r="F164" s="12"/>
      <c r="G164" s="12"/>
      <c r="H164" s="36">
        <v>1</v>
      </c>
      <c r="I164" s="37" t="str">
        <f>IFERROR(INDEX($I$140:$I$155,MATCH(6,$J$140:$J$155,0)),"")</f>
        <v>Frankrike</v>
      </c>
      <c r="J164" s="12">
        <f>IF(H164=1,COUNTIF($H$159:H164,1),"")</f>
        <v>2</v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25">
      <c r="A165" s="12"/>
      <c r="B165" s="12"/>
      <c r="C165" s="12"/>
      <c r="D165" s="12"/>
      <c r="E165" s="12"/>
      <c r="F165" s="12"/>
      <c r="G165" s="12"/>
      <c r="H165" s="33">
        <v>1</v>
      </c>
      <c r="I165" s="34" t="str">
        <f>IFERROR(INDEX($I$140:$I$155,MATCH(7,$J$140:$J$155,0)),"")</f>
        <v>Portugal</v>
      </c>
      <c r="J165" s="12">
        <f>IF(H165=1,COUNTIF($H$159:H165,1),"")</f>
        <v>3</v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25">
      <c r="A166" s="12"/>
      <c r="B166" s="12"/>
      <c r="C166" s="12"/>
      <c r="D166" s="12"/>
      <c r="E166" s="12"/>
      <c r="F166" s="12"/>
      <c r="G166" s="12"/>
      <c r="H166" s="36">
        <v>1</v>
      </c>
      <c r="I166" s="37" t="str">
        <f>IFERROR(INDEX($I$140:$I$155,MATCH(8,$J$140:$J$155,0)),"")</f>
        <v>Senegal</v>
      </c>
      <c r="J166" s="12">
        <f>IF(H166=1,COUNTIF($H$159:H166,1),"")</f>
        <v>4</v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25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25">
      <c r="A168" s="12"/>
      <c r="B168" s="12"/>
      <c r="C168" s="12"/>
      <c r="D168" s="12"/>
      <c r="E168" s="12"/>
      <c r="F168" s="12"/>
      <c r="G168" s="12"/>
      <c r="H168" s="39"/>
      <c r="I168" s="65" t="s">
        <v>163</v>
      </c>
      <c r="J168" s="65"/>
      <c r="K168" s="65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25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25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Spania</v>
      </c>
      <c r="J170" s="12">
        <f>IF(H170=1,COUNTIF($H$170:H170,1),"")</f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25">
      <c r="A171" s="12"/>
      <c r="B171" s="12"/>
      <c r="C171" s="12"/>
      <c r="D171" s="12"/>
      <c r="E171" s="12"/>
      <c r="F171" s="12"/>
      <c r="G171" s="12"/>
      <c r="H171" s="43">
        <v>1</v>
      </c>
      <c r="I171" s="44" t="str">
        <f>IFERROR(INDEX($I$159:$I$166,MATCH(2,$J$159:$J$166,0)),"")</f>
        <v>Frankrike</v>
      </c>
      <c r="J171" s="12">
        <f>IF(H171=1,COUNTIF($H$170:H171,1),"")</f>
        <v>2</v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25">
      <c r="A172" s="12"/>
      <c r="B172" s="12"/>
      <c r="C172" s="12"/>
      <c r="D172" s="12"/>
      <c r="E172" s="12"/>
      <c r="F172" s="12"/>
      <c r="G172" s="12"/>
      <c r="H172" s="40"/>
      <c r="I172" s="41" t="str">
        <f>IFERROR(INDEX($I$159:$I$166,MATCH(3,$J$159:$J$166,0)),"")</f>
        <v>Portugal</v>
      </c>
      <c r="J172" s="12" t="str">
        <f>IF(H172=1,COUNTIF($H$170:H172,1),"")</f>
        <v/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25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Senegal</v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25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25">
      <c r="A175" s="12"/>
      <c r="B175" s="12"/>
      <c r="C175" s="12"/>
      <c r="D175" s="12"/>
      <c r="E175" s="12"/>
      <c r="F175" s="12"/>
      <c r="G175" s="12"/>
      <c r="H175" s="46"/>
      <c r="I175" s="66" t="s">
        <v>164</v>
      </c>
      <c r="J175" s="66"/>
      <c r="K175" s="66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25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25">
      <c r="A177" s="12"/>
      <c r="B177" s="12"/>
      <c r="C177" s="12"/>
      <c r="D177" s="12"/>
      <c r="E177" s="12"/>
      <c r="F177" s="12"/>
      <c r="G177" s="12"/>
      <c r="H177" s="47"/>
      <c r="I177" s="48" t="str">
        <f>IFERROR(INDEX($I$170:$I$173,MATCH(1,$J$170:$J$173,0)),"")</f>
        <v>Spania</v>
      </c>
      <c r="J177" s="12" t="str">
        <f>IF(H177=1,COUNTIF($H$177:H177,1),"")</f>
        <v/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25">
      <c r="A178" s="12"/>
      <c r="B178" s="12"/>
      <c r="C178" s="12"/>
      <c r="D178" s="12"/>
      <c r="E178" s="12"/>
      <c r="F178" s="12"/>
      <c r="G178" s="12"/>
      <c r="H178" s="50">
        <v>1</v>
      </c>
      <c r="I178" s="51" t="str">
        <f>IFERROR(INDEX($I$170:$I$173,MATCH(2,$J$170:$J$173,0)),"")</f>
        <v>Frankrike</v>
      </c>
      <c r="J178" s="12">
        <f>IF(H178=1,COUNTIF($H$177:H178,1),"")</f>
        <v>1</v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25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25">
      <c r="A300" s="12" t="str">
        <f>M9</f>
        <v>Tsjekkia</v>
      </c>
      <c r="B300" s="12">
        <f>IFERROR(INDEX(AE7:AE10,MATCH(3,AF7:AF10,0)),0)</f>
        <v>1</v>
      </c>
      <c r="C300" s="12">
        <f>IFERROR(INDEX(AD7:AD10,MATCH(3,AF7:AF10,0)),0)</f>
        <v>-3</v>
      </c>
      <c r="D300" s="12">
        <f>IFERROR(INDEX(AB7:AB10,MATCH(3,AF7:AF10,0)),0)</f>
        <v>2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11</v>
      </c>
      <c r="F300" s="12">
        <f t="shared" ref="F300:F311" si="0">IFERROR(VLOOKUP(A300,$A$320:$B$367,2,0),999)</f>
        <v>41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25">
      <c r="A301" s="12" t="str">
        <f>M17</f>
        <v>Canada</v>
      </c>
      <c r="B301" s="12">
        <f>IFERROR(INDEX(AE15:AE18,MATCH(3,AF15:AF18,0)),0)</f>
        <v>4</v>
      </c>
      <c r="C301" s="12">
        <f>IFERROR(INDEX(AD15:AD18,MATCH(3,AF15:AF18,0)),0)</f>
        <v>-1</v>
      </c>
      <c r="D301" s="12">
        <f>IFERROR(INDEX(AB15:AB18,MATCH(3,AF15:AF18,0)),0)</f>
        <v>2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5</v>
      </c>
      <c r="F301" s="12">
        <f t="shared" si="0"/>
        <v>30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25">
      <c r="A302" s="12" t="str">
        <f>M25</f>
        <v>Skottland</v>
      </c>
      <c r="B302" s="12">
        <f>IFERROR(INDEX(AE23:AE26,MATCH(3,AF23:AF26,0)),0)</f>
        <v>3</v>
      </c>
      <c r="C302" s="12">
        <f>IFERROR(INDEX(AD23:AD26,MATCH(3,AF23:AF26,0)),0)</f>
        <v>-3</v>
      </c>
      <c r="D302" s="12">
        <f>IFERROR(INDEX(AB23:AB26,MATCH(3,AF23:AF26,0)),0)</f>
        <v>1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7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25">
      <c r="A303" s="12" t="str">
        <f>M33</f>
        <v>Australia</v>
      </c>
      <c r="B303" s="12">
        <f>IFERROR(INDEX(AE31:AE34,MATCH(3,AF31:AF34,0)),0)</f>
        <v>2</v>
      </c>
      <c r="C303" s="12">
        <f>IFERROR(INDEX(AD31:AD34,MATCH(3,AF31:AF34,0)),0)</f>
        <v>-1</v>
      </c>
      <c r="D303" s="12">
        <f>IFERROR(INDEX(AB31:AB34,MATCH(3,AF31:AF34,0)),0)</f>
        <v>3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9</v>
      </c>
      <c r="F303" s="12">
        <f t="shared" si="0"/>
        <v>27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25">
      <c r="A304" s="12" t="str">
        <f>M41</f>
        <v>Ecuador</v>
      </c>
      <c r="B304" s="12">
        <f>IFERROR(INDEX(AE39:AE42,MATCH(3,AF39:AF42,0)),0)</f>
        <v>5</v>
      </c>
      <c r="C304" s="12">
        <f>IFERROR(INDEX(AD39:AD42,MATCH(3,AF39:AF42,0)),0)</f>
        <v>1</v>
      </c>
      <c r="D304" s="12">
        <f>IFERROR(INDEX(AB39:AB42,MATCH(3,AF39:AF42,0)),0)</f>
        <v>3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1</v>
      </c>
      <c r="F304" s="12">
        <f t="shared" si="0"/>
        <v>23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25">
      <c r="A305" s="12" t="str">
        <f>M49</f>
        <v>Sverige</v>
      </c>
      <c r="B305" s="12">
        <f>IFERROR(INDEX(AE47:AE50,MATCH(3,AF47:AF50,0)),0)</f>
        <v>2</v>
      </c>
      <c r="C305" s="12">
        <f>IFERROR(INDEX(AD47:AD50,MATCH(3,AF47:AF50,0)),0)</f>
        <v>-2</v>
      </c>
      <c r="D305" s="12">
        <f>IFERROR(INDEX(AB47:AB50,MATCH(3,AF47:AF50,0)),0)</f>
        <v>3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10</v>
      </c>
      <c r="F305" s="12">
        <f t="shared" si="0"/>
        <v>38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25">
      <c r="A306" s="12" t="str">
        <f>M57</f>
        <v>Egypt</v>
      </c>
      <c r="B306" s="12">
        <f>IFERROR(INDEX(AE55:AE58,MATCH(3,AF55:AF58,0)),0)</f>
        <v>4</v>
      </c>
      <c r="C306" s="12">
        <f>IFERROR(INDEX(AD55:AD58,MATCH(3,AF55:AF58,0)),0)</f>
        <v>0</v>
      </c>
      <c r="D306" s="12">
        <f>IFERROR(INDEX(AB55:AB58,MATCH(3,AF55:AF58,0)),0)</f>
        <v>3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3</v>
      </c>
      <c r="F306" s="12">
        <f t="shared" si="0"/>
        <v>29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25">
      <c r="A307" s="12" t="str">
        <f>M65</f>
        <v>Saudi Arabia</v>
      </c>
      <c r="B307" s="12">
        <f>IFERROR(INDEX(AE63:AE66,MATCH(3,AF63:AF66,0)),0)</f>
        <v>3</v>
      </c>
      <c r="C307" s="12">
        <f>IFERROR(INDEX(AD63:AD66,MATCH(3,AF63:AF66,0)),0)</f>
        <v>-3</v>
      </c>
      <c r="D307" s="12">
        <f>IFERROR(INDEX(AB63:AB66,MATCH(3,AF63:AF66,0)),0)</f>
        <v>2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6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25">
      <c r="A308" s="12" t="str">
        <f>M73</f>
        <v>Senegal</v>
      </c>
      <c r="B308" s="12">
        <f>IFERROR(INDEX(AE71:AE74,MATCH(3,AF71:AF74,0)),0)</f>
        <v>2</v>
      </c>
      <c r="C308" s="12">
        <f>IFERROR(INDEX(AD71:AD74,MATCH(3,AF71:AF74,0)),0)</f>
        <v>-1</v>
      </c>
      <c r="D308" s="12">
        <f>IFERROR(INDEX(AB71:AB74,MATCH(3,AF71:AF74,0)),0)</f>
        <v>3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8</v>
      </c>
      <c r="F308" s="12">
        <f t="shared" si="0"/>
        <v>14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25">
      <c r="A309" s="12" t="str">
        <f>M81</f>
        <v>Algerie</v>
      </c>
      <c r="B309" s="12">
        <f>IFERROR(INDEX(AE79:AE82,MATCH(3,AF79:AF82,0)),0)</f>
        <v>4</v>
      </c>
      <c r="C309" s="12">
        <f>IFERROR(INDEX(AD79:AD82,MATCH(3,AF79:AF82,0)),0)</f>
        <v>-1</v>
      </c>
      <c r="D309" s="12">
        <f>IFERROR(INDEX(AB79:AB82,MATCH(3,AF79:AF82,0)),0)</f>
        <v>3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4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25">
      <c r="A310" s="12" t="str">
        <f>M89</f>
        <v>Usbekistan</v>
      </c>
      <c r="B310" s="12">
        <f>IFERROR(INDEX(AE87:AE90,MATCH(3,AF87:AF90,0)),0)</f>
        <v>1</v>
      </c>
      <c r="C310" s="12">
        <f>IFERROR(INDEX(AD87:AD90,MATCH(3,AF87:AF90,0)),0)</f>
        <v>-4</v>
      </c>
      <c r="D310" s="12">
        <f>IFERROR(INDEX(AB87:AB90,MATCH(3,AF87:AF90,0)),0)</f>
        <v>2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12</v>
      </c>
      <c r="F310" s="12">
        <f t="shared" si="0"/>
        <v>50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25">
      <c r="A311" s="12" t="str">
        <f>M97</f>
        <v>Ghana</v>
      </c>
      <c r="B311" s="12">
        <f>IFERROR(INDEX(AE95:AE98,MATCH(3,AF95:AF98,0)),0)</f>
        <v>4</v>
      </c>
      <c r="C311" s="12">
        <f>IFERROR(INDEX(AD95:AD98,MATCH(3,AF95:AF98,0)),0)</f>
        <v>1</v>
      </c>
      <c r="D311" s="12">
        <f>IFERROR(INDEX(AB95:AB98,MATCH(3,AF95:AF98,0)),0)</f>
        <v>4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2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 x14ac:dyDescent="0.25">
      <c r="A320" t="s">
        <v>140</v>
      </c>
      <c r="B320">
        <v>28</v>
      </c>
    </row>
    <row r="321" spans="1:2" ht="15" customHeight="1" x14ac:dyDescent="0.25">
      <c r="A321" t="s">
        <v>139</v>
      </c>
      <c r="B321">
        <v>3</v>
      </c>
    </row>
    <row r="322" spans="1:2" ht="15" customHeight="1" x14ac:dyDescent="0.25">
      <c r="A322" t="s">
        <v>81</v>
      </c>
      <c r="B322">
        <v>27</v>
      </c>
    </row>
    <row r="323" spans="1:2" ht="15" customHeight="1" x14ac:dyDescent="0.25">
      <c r="A323" t="s">
        <v>111</v>
      </c>
      <c r="B323">
        <v>9</v>
      </c>
    </row>
    <row r="324" spans="1:2" ht="15" customHeight="1" x14ac:dyDescent="0.25">
      <c r="A324" t="s">
        <v>52</v>
      </c>
      <c r="B324">
        <v>65</v>
      </c>
    </row>
    <row r="325" spans="1:2" ht="15" customHeight="1" x14ac:dyDescent="0.25">
      <c r="A325" t="s">
        <v>66</v>
      </c>
      <c r="B325">
        <v>6</v>
      </c>
    </row>
    <row r="326" spans="1:2" ht="15" customHeight="1" x14ac:dyDescent="0.25">
      <c r="A326" t="s">
        <v>51</v>
      </c>
      <c r="B326">
        <v>30</v>
      </c>
    </row>
    <row r="327" spans="1:2" ht="15" customHeight="1" x14ac:dyDescent="0.25">
      <c r="A327" t="s">
        <v>149</v>
      </c>
      <c r="B327">
        <v>13</v>
      </c>
    </row>
    <row r="328" spans="1:2" ht="15" customHeight="1" x14ac:dyDescent="0.25">
      <c r="A328" t="s">
        <v>89</v>
      </c>
      <c r="B328">
        <v>82</v>
      </c>
    </row>
    <row r="329" spans="1:2" ht="15" customHeight="1" x14ac:dyDescent="0.25">
      <c r="A329" t="s">
        <v>147</v>
      </c>
      <c r="B329">
        <v>46</v>
      </c>
    </row>
    <row r="330" spans="1:2" ht="15" customHeight="1" x14ac:dyDescent="0.25">
      <c r="A330" t="s">
        <v>93</v>
      </c>
      <c r="B330">
        <v>23</v>
      </c>
    </row>
    <row r="331" spans="1:2" ht="15" customHeight="1" x14ac:dyDescent="0.25">
      <c r="A331" t="s">
        <v>112</v>
      </c>
      <c r="B331">
        <v>29</v>
      </c>
    </row>
    <row r="332" spans="1:2" ht="15" customHeight="1" x14ac:dyDescent="0.25">
      <c r="A332" t="s">
        <v>92</v>
      </c>
      <c r="B332">
        <v>34</v>
      </c>
    </row>
    <row r="333" spans="1:2" ht="15" customHeight="1" x14ac:dyDescent="0.25">
      <c r="A333" t="s">
        <v>154</v>
      </c>
      <c r="B333">
        <v>4</v>
      </c>
    </row>
    <row r="334" spans="1:2" ht="15" customHeight="1" x14ac:dyDescent="0.25">
      <c r="A334" t="s">
        <v>129</v>
      </c>
      <c r="B334">
        <v>1</v>
      </c>
    </row>
    <row r="335" spans="1:2" ht="15" customHeight="1" x14ac:dyDescent="0.25">
      <c r="A335" t="s">
        <v>156</v>
      </c>
      <c r="B335">
        <v>74</v>
      </c>
    </row>
    <row r="336" spans="1:2" ht="15" customHeight="1" x14ac:dyDescent="0.25">
      <c r="A336" t="s">
        <v>70</v>
      </c>
      <c r="B336">
        <v>83</v>
      </c>
    </row>
    <row r="337" spans="1:2" ht="15" customHeight="1" x14ac:dyDescent="0.25">
      <c r="A337" t="s">
        <v>131</v>
      </c>
      <c r="B337">
        <v>57</v>
      </c>
    </row>
    <row r="338" spans="1:2" ht="15" customHeight="1" x14ac:dyDescent="0.25">
      <c r="A338" t="s">
        <v>104</v>
      </c>
      <c r="B338">
        <v>18</v>
      </c>
    </row>
    <row r="339" spans="1:2" ht="15" customHeight="1" x14ac:dyDescent="0.25">
      <c r="A339" t="s">
        <v>142</v>
      </c>
      <c r="B339">
        <v>63</v>
      </c>
    </row>
    <row r="340" spans="1:2" ht="15" customHeight="1" x14ac:dyDescent="0.25">
      <c r="A340" t="s">
        <v>123</v>
      </c>
      <c r="B340">
        <v>69</v>
      </c>
    </row>
    <row r="341" spans="1:2" ht="15" customHeight="1" x14ac:dyDescent="0.25">
      <c r="A341" t="s">
        <v>155</v>
      </c>
      <c r="B341">
        <v>11</v>
      </c>
    </row>
    <row r="342" spans="1:2" ht="15" customHeight="1" x14ac:dyDescent="0.25">
      <c r="A342" t="s">
        <v>165</v>
      </c>
      <c r="B342">
        <v>67</v>
      </c>
    </row>
    <row r="343" spans="1:2" ht="15" customHeight="1" x14ac:dyDescent="0.25">
      <c r="A343" t="s">
        <v>67</v>
      </c>
      <c r="B343">
        <v>8</v>
      </c>
    </row>
    <row r="344" spans="1:2" ht="15" customHeight="1" x14ac:dyDescent="0.25">
      <c r="A344" t="s">
        <v>28</v>
      </c>
      <c r="B344">
        <v>15</v>
      </c>
    </row>
    <row r="345" spans="1:2" ht="15" customHeight="1" x14ac:dyDescent="0.25">
      <c r="A345" t="s">
        <v>103</v>
      </c>
      <c r="B345">
        <v>7</v>
      </c>
    </row>
    <row r="346" spans="1:2" ht="15" customHeight="1" x14ac:dyDescent="0.25">
      <c r="A346" t="s">
        <v>114</v>
      </c>
      <c r="B346">
        <v>85</v>
      </c>
    </row>
    <row r="347" spans="1:2" ht="15" customHeight="1" x14ac:dyDescent="0.25">
      <c r="A347" t="s">
        <v>132</v>
      </c>
      <c r="B347">
        <v>31</v>
      </c>
    </row>
    <row r="348" spans="1:2" ht="15" customHeight="1" x14ac:dyDescent="0.25">
      <c r="A348" t="s">
        <v>157</v>
      </c>
      <c r="B348">
        <v>33</v>
      </c>
    </row>
    <row r="349" spans="1:2" ht="15" customHeight="1" x14ac:dyDescent="0.25">
      <c r="A349" t="s">
        <v>80</v>
      </c>
      <c r="B349">
        <v>40</v>
      </c>
    </row>
    <row r="350" spans="1:2" ht="15" customHeight="1" x14ac:dyDescent="0.25">
      <c r="A350" t="s">
        <v>146</v>
      </c>
      <c r="B350">
        <v>5</v>
      </c>
    </row>
    <row r="351" spans="1:2" ht="15" customHeight="1" x14ac:dyDescent="0.25">
      <c r="A351" t="s">
        <v>54</v>
      </c>
      <c r="B351">
        <v>55</v>
      </c>
    </row>
    <row r="352" spans="1:2" ht="15" customHeight="1" x14ac:dyDescent="0.25">
      <c r="A352" t="s">
        <v>124</v>
      </c>
      <c r="B352">
        <v>61</v>
      </c>
    </row>
    <row r="353" spans="1:2" ht="15" customHeight="1" x14ac:dyDescent="0.25">
      <c r="A353" t="s">
        <v>130</v>
      </c>
      <c r="B353">
        <v>14</v>
      </c>
    </row>
    <row r="354" spans="1:2" ht="15" customHeight="1" x14ac:dyDescent="0.25">
      <c r="A354" t="s">
        <v>71</v>
      </c>
      <c r="B354">
        <v>43</v>
      </c>
    </row>
    <row r="355" spans="1:2" ht="15" customHeight="1" x14ac:dyDescent="0.25">
      <c r="A355" t="s">
        <v>122</v>
      </c>
      <c r="B355">
        <v>2</v>
      </c>
    </row>
    <row r="356" spans="1:2" ht="15" customHeight="1" x14ac:dyDescent="0.25">
      <c r="A356" t="s">
        <v>55</v>
      </c>
      <c r="B356">
        <v>19</v>
      </c>
    </row>
    <row r="357" spans="1:2" ht="15" customHeight="1" x14ac:dyDescent="0.25">
      <c r="A357" t="s">
        <v>106</v>
      </c>
      <c r="B357">
        <v>38</v>
      </c>
    </row>
    <row r="358" spans="1:2" ht="15" customHeight="1" x14ac:dyDescent="0.25">
      <c r="A358" t="s">
        <v>30</v>
      </c>
      <c r="B358">
        <v>60</v>
      </c>
    </row>
    <row r="359" spans="1:2" ht="15" customHeight="1" x14ac:dyDescent="0.25">
      <c r="A359" t="s">
        <v>35</v>
      </c>
      <c r="B359">
        <v>25</v>
      </c>
    </row>
    <row r="360" spans="1:2" ht="15" customHeight="1" x14ac:dyDescent="0.25">
      <c r="A360" t="s">
        <v>36</v>
      </c>
      <c r="B360">
        <v>41</v>
      </c>
    </row>
    <row r="361" spans="1:2" ht="15" customHeight="1" x14ac:dyDescent="0.25">
      <c r="A361" t="s">
        <v>107</v>
      </c>
      <c r="B361">
        <v>44</v>
      </c>
    </row>
    <row r="362" spans="1:2" ht="15" customHeight="1" x14ac:dyDescent="0.25">
      <c r="A362" t="s">
        <v>82</v>
      </c>
      <c r="B362">
        <v>21</v>
      </c>
    </row>
    <row r="363" spans="1:2" ht="15" customHeight="1" x14ac:dyDescent="0.25">
      <c r="A363" t="s">
        <v>88</v>
      </c>
      <c r="B363">
        <v>10</v>
      </c>
    </row>
    <row r="364" spans="1:2" ht="15" customHeight="1" x14ac:dyDescent="0.25">
      <c r="A364" t="s">
        <v>79</v>
      </c>
      <c r="B364">
        <v>16</v>
      </c>
    </row>
    <row r="365" spans="1:2" ht="15" customHeight="1" x14ac:dyDescent="0.25">
      <c r="A365" t="s">
        <v>125</v>
      </c>
      <c r="B365">
        <v>17</v>
      </c>
    </row>
    <row r="366" spans="1:2" ht="15" customHeight="1" x14ac:dyDescent="0.25">
      <c r="A366" t="s">
        <v>148</v>
      </c>
      <c r="B366">
        <v>50</v>
      </c>
    </row>
    <row r="367" spans="1:2" ht="15" customHeight="1" x14ac:dyDescent="0.25">
      <c r="A367" t="s">
        <v>141</v>
      </c>
      <c r="B367">
        <v>24</v>
      </c>
    </row>
  </sheetData>
  <mergeCells count="37">
    <mergeCell ref="I157:K157"/>
    <mergeCell ref="I168:K168"/>
    <mergeCell ref="I175:K175"/>
    <mergeCell ref="A93:K93"/>
    <mergeCell ref="M93:U93"/>
    <mergeCell ref="H101:K101"/>
    <mergeCell ref="I103:K103"/>
    <mergeCell ref="I138:K138"/>
    <mergeCell ref="A69:K69"/>
    <mergeCell ref="M69:U69"/>
    <mergeCell ref="A77:K77"/>
    <mergeCell ref="M77:U77"/>
    <mergeCell ref="A85:K85"/>
    <mergeCell ref="M85:U85"/>
    <mergeCell ref="A45:K45"/>
    <mergeCell ref="M45:U45"/>
    <mergeCell ref="A53:K53"/>
    <mergeCell ref="M53:U53"/>
    <mergeCell ref="A61:K61"/>
    <mergeCell ref="M61:U61"/>
    <mergeCell ref="A21:K21"/>
    <mergeCell ref="M21:U21"/>
    <mergeCell ref="A29:K29"/>
    <mergeCell ref="M29:U29"/>
    <mergeCell ref="A37:K37"/>
    <mergeCell ref="M37:U37"/>
    <mergeCell ref="A3:K3"/>
    <mergeCell ref="M3:U3"/>
    <mergeCell ref="A5:K5"/>
    <mergeCell ref="M5:U5"/>
    <mergeCell ref="A13:K13"/>
    <mergeCell ref="M13:U13"/>
    <mergeCell ref="A1:K1"/>
    <mergeCell ref="M1:U1"/>
    <mergeCell ref="A2:C2"/>
    <mergeCell ref="D2:K2"/>
    <mergeCell ref="M2:U2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9171D-7414-480A-A6B0-4629BA2371E5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9cd4a677-7aee-4d17-8718-d38c4fab49a7"/>
    <ds:schemaRef ds:uri="http://purl.org/dc/elements/1.1/"/>
    <ds:schemaRef ds:uri="http://purl.org/dc/dcmitype/"/>
    <ds:schemaRef ds:uri="http://schemas.openxmlformats.org/package/2006/metadata/core-properties"/>
    <ds:schemaRef ds:uri="d4f56ad3-4be4-4368-a565-df4965c1e22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E2AB9BB-D206-4B42-BC5A-546223F12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46F970-DEC9-4AF4-95E8-BA2A2F98E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2026-06-11T13:22:22Z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ActionId">
    <vt:lpwstr>571e702c-0d6e-488a-8455-5ca6d305a4dd</vt:lpwstr>
  </property>
  <property fmtid="{D5CDD505-2E9C-101B-9397-08002B2CF9AE}" pid="3" name="MSIP_Label_74496a9e-5b1c-41ca-bcc9-9a55259a8794_ContentBits">
    <vt:lpwstr>2</vt:lpwstr>
  </property>
  <property fmtid="{D5CDD505-2E9C-101B-9397-08002B2CF9AE}" pid="4" name="MSIP_Label_74496a9e-5b1c-41ca-bcc9-9a55259a8794_Enabled">
    <vt:lpwstr>true</vt:lpwstr>
  </property>
  <property fmtid="{D5CDD505-2E9C-101B-9397-08002B2CF9AE}" pid="5" name="MSIP_Label_74496a9e-5b1c-41ca-bcc9-9a55259a8794_Method">
    <vt:lpwstr>Standard</vt:lpwstr>
  </property>
  <property fmtid="{D5CDD505-2E9C-101B-9397-08002B2CF9AE}" pid="6" name="MSIP_Label_74496a9e-5b1c-41ca-bcc9-9a55259a8794_Name">
    <vt:lpwstr>Internal-unprotected</vt:lpwstr>
  </property>
  <property fmtid="{D5CDD505-2E9C-101B-9397-08002B2CF9AE}" pid="7" name="MSIP_Label_74496a9e-5b1c-41ca-bcc9-9a55259a8794_SetDate">
    <vt:lpwstr>2026-06-08T07:17:34Z</vt:lpwstr>
  </property>
  <property fmtid="{D5CDD505-2E9C-101B-9397-08002B2CF9AE}" pid="8" name="MSIP_Label_74496a9e-5b1c-41ca-bcc9-9a55259a8794_SiteId">
    <vt:lpwstr>1b451b4e-0727-4d46-b100-af1eb0f3da12</vt:lpwstr>
  </property>
  <property fmtid="{D5CDD505-2E9C-101B-9397-08002B2CF9AE}" pid="9" name="MSIP_Label_74496a9e-5b1c-41ca-bcc9-9a55259a8794_Tag">
    <vt:lpwstr>10, 3, 0, 1</vt:lpwstr>
  </property>
  <property fmtid="{D5CDD505-2E9C-101B-9397-08002B2CF9AE}" pid="10" name="ContentTypeId">
    <vt:lpwstr>0x010100671046C6C42EE1449039E4EC9B42CCA1</vt:lpwstr>
  </property>
  <property fmtid="{D5CDD505-2E9C-101B-9397-08002B2CF9AE}" pid="11" name="MediaServiceImageTags">
    <vt:lpwstr/>
  </property>
</Properties>
</file>